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blsan\OneDrive\Desktop\"/>
    </mc:Choice>
  </mc:AlternateContent>
  <xr:revisionPtr revIDLastSave="0" documentId="8_{611C0793-5711-4E76-BC1A-1DDDB7B23EC2}" xr6:coauthVersionLast="47" xr6:coauthVersionMax="47" xr10:uidLastSave="{00000000-0000-0000-0000-000000000000}"/>
  <bookViews>
    <workbookView xWindow="-110" yWindow="-110" windowWidth="19420" windowHeight="10300" firstSheet="1" activeTab="1" xr2:uid="{41B43F34-5090-4523-A517-9A06B1B3D81D}"/>
  </bookViews>
  <sheets>
    <sheet name="Pivot" sheetId="3" r:id="rId1"/>
    <sheet name="Dashboard" sheetId="4" r:id="rId2"/>
    <sheet name="Data" sheetId="1" r:id="rId3"/>
    <sheet name="Duplicate Pivot" sheetId="2" r:id="rId4"/>
  </sheets>
  <definedNames>
    <definedName name="Slicer_Month">#N/A</definedName>
  </definedNames>
  <calcPr calcId="191028"/>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AU9" i="3"/>
  <c r="U6" i="2"/>
  <c r="AU7" i="2"/>
  <c r="G4" i="2"/>
  <c r="AB6" i="3"/>
  <c r="H4" i="3"/>
  <c r="AF5" i="3"/>
  <c r="AU4" i="2"/>
  <c r="U6" i="3"/>
  <c r="AJ6" i="2"/>
  <c r="B6" i="3"/>
  <c r="AJ6" i="3"/>
  <c r="M7" i="3"/>
  <c r="H6" i="3"/>
  <c r="M8" i="2"/>
  <c r="AJ5" i="2"/>
  <c r="M6" i="2"/>
  <c r="M5" i="3"/>
  <c r="H6" i="2"/>
  <c r="Y7" i="2"/>
  <c r="AB8" i="3"/>
  <c r="AO4" i="2"/>
  <c r="AB4" i="2"/>
  <c r="M8" i="3"/>
  <c r="AF6" i="2"/>
  <c r="N9" i="3"/>
  <c r="AB6" i="2"/>
  <c r="N8" i="2"/>
  <c r="AU4" i="3"/>
  <c r="AB9" i="2"/>
  <c r="U4" i="3"/>
  <c r="Y6" i="3"/>
  <c r="H8" i="3"/>
  <c r="N5" i="3"/>
  <c r="Y5" i="3"/>
  <c r="AB9" i="3"/>
  <c r="V6" i="3"/>
  <c r="U5" i="3"/>
  <c r="G6" i="2"/>
  <c r="AJ4" i="3"/>
  <c r="U4" i="2"/>
  <c r="AB7" i="2"/>
  <c r="Y4" i="2"/>
  <c r="AU5" i="3"/>
  <c r="H9" i="2"/>
  <c r="B4" i="2"/>
  <c r="M4" i="2"/>
  <c r="Y9" i="3"/>
  <c r="N4" i="2"/>
  <c r="AJ5" i="3"/>
  <c r="G4" i="3"/>
  <c r="M9" i="2"/>
  <c r="Y10" i="2"/>
  <c r="H7" i="2"/>
  <c r="N4" i="3"/>
  <c r="B7" i="2"/>
  <c r="B8" i="2"/>
  <c r="AU8" i="2"/>
  <c r="AB7" i="3"/>
  <c r="M4" i="3"/>
  <c r="AB5" i="2"/>
  <c r="G6" i="3"/>
  <c r="AO6" i="2"/>
  <c r="AB5" i="3"/>
  <c r="H9" i="3"/>
  <c r="H5" i="3"/>
  <c r="AU6" i="3"/>
  <c r="AF6" i="3"/>
  <c r="B7" i="3"/>
  <c r="N7" i="2"/>
  <c r="AF5" i="2"/>
  <c r="AU8" i="3"/>
  <c r="V6" i="2"/>
  <c r="Y10" i="3"/>
  <c r="Y6" i="2"/>
  <c r="Y9" i="2"/>
  <c r="AJ7" i="3"/>
  <c r="M9" i="3"/>
  <c r="Y4" i="3"/>
  <c r="N5" i="2"/>
  <c r="H5" i="2"/>
  <c r="G9" i="3"/>
  <c r="H7" i="3"/>
  <c r="AB10" i="2"/>
  <c r="N6" i="3"/>
  <c r="AO4" i="3"/>
  <c r="AO5" i="2"/>
  <c r="N6" i="2"/>
  <c r="AB8" i="2"/>
  <c r="U5" i="2"/>
  <c r="B6" i="2"/>
  <c r="AU9" i="2"/>
  <c r="AF4" i="3"/>
  <c r="H4" i="2"/>
  <c r="M7" i="2"/>
  <c r="G7" i="3"/>
  <c r="AO6" i="3"/>
  <c r="G5" i="2"/>
  <c r="N7" i="3"/>
  <c r="G9" i="2"/>
  <c r="B8" i="3"/>
  <c r="AU6" i="2"/>
  <c r="AB4" i="3"/>
  <c r="G8" i="3"/>
  <c r="V4" i="2"/>
  <c r="AJ4" i="2"/>
  <c r="AJ7" i="2"/>
  <c r="AF4" i="2"/>
  <c r="Y7" i="3"/>
  <c r="M6" i="3"/>
  <c r="N8" i="3"/>
  <c r="N9" i="2"/>
  <c r="AU7" i="3"/>
  <c r="G7" i="2"/>
  <c r="V4" i="3"/>
  <c r="V5" i="2"/>
  <c r="V5" i="3"/>
  <c r="Y8" i="2"/>
  <c r="M5" i="2"/>
  <c r="B5" i="2"/>
  <c r="Y5" i="2"/>
  <c r="G8" i="2"/>
  <c r="B4" i="3"/>
  <c r="AO5" i="3"/>
  <c r="H8" i="2"/>
  <c r="B5" i="3"/>
  <c r="G5" i="3"/>
  <c r="AB10" i="3"/>
  <c r="Y8" i="3"/>
  <c r="AU5" i="2"/>
  <c r="G10" i="3" l="1"/>
  <c r="H10" i="3"/>
  <c r="AO7" i="2"/>
  <c r="AP7" i="2" s="1"/>
  <c r="M10" i="3"/>
  <c r="AU10" i="3"/>
  <c r="AF7" i="2"/>
  <c r="AG7" i="2" s="1"/>
  <c r="AB11" i="2"/>
  <c r="AJ8" i="2"/>
  <c r="AK8" i="2" s="1"/>
  <c r="AO7" i="3"/>
  <c r="AP7" i="3" s="1"/>
  <c r="N10" i="2"/>
  <c r="G10" i="2"/>
  <c r="V7" i="2"/>
  <c r="U7" i="2"/>
  <c r="AU10" i="2"/>
  <c r="M10" i="2"/>
  <c r="AJ8" i="3"/>
  <c r="AK8" i="3" s="1"/>
  <c r="AB11" i="3"/>
  <c r="Y11" i="2"/>
  <c r="AF7" i="3"/>
  <c r="AG7" i="3" s="1"/>
  <c r="Y11" i="3"/>
  <c r="U7" i="3"/>
  <c r="N10" i="3"/>
  <c r="V7" i="3"/>
  <c r="H10" i="2"/>
  <c r="B9" i="2"/>
  <c r="B9" i="3"/>
  <c r="AG4" i="2" l="1"/>
  <c r="AP5" i="2"/>
  <c r="AP6" i="2"/>
  <c r="AP4" i="2"/>
  <c r="AK4" i="2"/>
  <c r="AG4" i="3"/>
  <c r="AG6" i="2"/>
  <c r="AK5" i="2"/>
  <c r="AP5" i="3"/>
  <c r="AG6" i="3"/>
  <c r="AK7" i="2"/>
  <c r="AK5" i="3"/>
  <c r="AP4" i="3"/>
  <c r="AK7" i="3"/>
  <c r="AK6" i="2"/>
  <c r="AK4" i="3"/>
  <c r="AG5" i="2"/>
  <c r="AK6" i="3"/>
  <c r="AG5" i="3"/>
  <c r="AP6" i="3"/>
</calcChain>
</file>

<file path=xl/sharedStrings.xml><?xml version="1.0" encoding="utf-8"?>
<sst xmlns="http://schemas.openxmlformats.org/spreadsheetml/2006/main" count="1369" uniqueCount="65">
  <si>
    <t>KPI</t>
  </si>
  <si>
    <t>Value</t>
  </si>
  <si>
    <t>Row Labels</t>
  </si>
  <si>
    <t>Sum of Visitor Count</t>
  </si>
  <si>
    <t>Sum of Visitor Count2</t>
  </si>
  <si>
    <t>Sum of Bounce Rate %</t>
  </si>
  <si>
    <t>Average of Goal Conversion Rate %</t>
  </si>
  <si>
    <t>Conversion %</t>
  </si>
  <si>
    <t>Average of Conversion % (Channel)</t>
  </si>
  <si>
    <t>%age Conversion</t>
  </si>
  <si>
    <t>Total Visit</t>
  </si>
  <si>
    <t>Defect</t>
  </si>
  <si>
    <t>Guest</t>
  </si>
  <si>
    <t>Jan</t>
  </si>
  <si>
    <t>Direct</t>
  </si>
  <si>
    <t>Campaign 3</t>
  </si>
  <si>
    <t>Page 1</t>
  </si>
  <si>
    <t>Avg Session Duration</t>
  </si>
  <si>
    <t>New</t>
  </si>
  <si>
    <t>Feb</t>
  </si>
  <si>
    <t>Organic</t>
  </si>
  <si>
    <t>Campaign 2</t>
  </si>
  <si>
    <t>Page 2</t>
  </si>
  <si>
    <t>Per Page Visit</t>
  </si>
  <si>
    <t>Email</t>
  </si>
  <si>
    <t>Returning</t>
  </si>
  <si>
    <t>Mar</t>
  </si>
  <si>
    <t>Paid Search</t>
  </si>
  <si>
    <t>Campaign 4</t>
  </si>
  <si>
    <t>Page 3</t>
  </si>
  <si>
    <t>Bounce Rate</t>
  </si>
  <si>
    <t>Paid</t>
  </si>
  <si>
    <t>Grand Total</t>
  </si>
  <si>
    <t>Apr</t>
  </si>
  <si>
    <t>Campaign 1</t>
  </si>
  <si>
    <t>Page Views</t>
  </si>
  <si>
    <t>Referral</t>
  </si>
  <si>
    <t>May</t>
  </si>
  <si>
    <t>Goal Conversion</t>
  </si>
  <si>
    <t>Social</t>
  </si>
  <si>
    <t>Jun</t>
  </si>
  <si>
    <t>Jul</t>
  </si>
  <si>
    <t>Average of Avg. Session Duration (sec)</t>
  </si>
  <si>
    <t>Average of Pages Per Visit</t>
  </si>
  <si>
    <t>Sum of Total Page Views</t>
  </si>
  <si>
    <t>Sum of Goal Conversion Rate %</t>
  </si>
  <si>
    <t>Traffic Source Type</t>
  </si>
  <si>
    <t>Traffic Source %</t>
  </si>
  <si>
    <t>Visitor Type</t>
  </si>
  <si>
    <t>Visitor Count</t>
  </si>
  <si>
    <t>Visitor Date</t>
  </si>
  <si>
    <t>Visits (in thousands)</t>
  </si>
  <si>
    <t>Bounce Rate %</t>
  </si>
  <si>
    <t>Avg. Session Duration (sec)</t>
  </si>
  <si>
    <t>Pages Per Visit</t>
  </si>
  <si>
    <t>Total Page Views</t>
  </si>
  <si>
    <t>Goal Conversion Rate %</t>
  </si>
  <si>
    <t>Channel</t>
  </si>
  <si>
    <t>Conversion % (Channel)</t>
  </si>
  <si>
    <t>Campaign Name</t>
  </si>
  <si>
    <t>Conversion % (Campaign)</t>
  </si>
  <si>
    <t>Page Name</t>
  </si>
  <si>
    <t>Conversion % (Page)</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</si>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</sst>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0"/>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8" tint="0.39997558519241921"/>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3" fillId="3" borderId="1" xfId="0" applyFont="1" applyFill="1" applyBorder="1"/>
    <xf numFmtId="0" fontId="3" fillId="3" borderId="2" xfId="0" applyFont="1" applyFill="1" applyBorder="1"/>
    <xf numFmtId="0" fontId="3" fillId="3" borderId="2" xfId="0" applyFont="1" applyFill="1" applyBorder="1" applyAlignment="1">
      <alignment horizontal="left"/>
    </xf>
    <xf numFmtId="9" fontId="3" fillId="3" borderId="2" xfId="0" applyNumberFormat="1" applyFont="1" applyFill="1" applyBorder="1"/>
    <xf numFmtId="1" fontId="3" fillId="3" borderId="2" xfId="0" applyNumberFormat="1" applyFont="1" applyFill="1" applyBorder="1"/>
    <xf numFmtId="9" fontId="0" fillId="0" borderId="0" xfId="1" applyFont="1"/>
    <xf numFmtId="0" fontId="3" fillId="3" borderId="0" xfId="0" applyFont="1" applyFill="1"/>
    <xf numFmtId="0" fontId="3" fillId="4" borderId="3" xfId="0" applyFont="1" applyFill="1" applyBorder="1"/>
    <xf numFmtId="0" fontId="0" fillId="0" borderId="3" xfId="0" applyBorder="1"/>
    <xf numFmtId="2" fontId="0" fillId="0" borderId="3" xfId="0" applyNumberFormat="1" applyBorder="1"/>
    <xf numFmtId="9" fontId="0" fillId="0" borderId="3" xfId="1" applyFont="1" applyBorder="1"/>
    <xf numFmtId="2" fontId="0" fillId="0" borderId="0" xfId="0" applyNumberFormat="1"/>
    <xf numFmtId="0" fontId="0" fillId="5" borderId="0" xfId="0" applyFill="1"/>
    <xf numFmtId="0" fontId="0" fillId="0" borderId="0" xfId="0" applyNumberFormat="1"/>
  </cellXfs>
  <cellStyles count="2">
    <cellStyle name="Normal" xfId="0" builtinId="0"/>
    <cellStyle name="Percent" xfId="1" builtinId="5"/>
  </cellStyles>
  <dxfs count="195">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4" formatCode="0.0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3" formatCode="0%"/>
    </dxf>
    <dxf>
      <numFmt numFmtId="13" formatCode="0%"/>
    </dxf>
    <dxf>
      <numFmt numFmtId="14" formatCode="0.0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13" formatCode="0%"/>
    </dxf>
    <dxf>
      <numFmt numFmtId="14" formatCode="0.00%"/>
    </dxf>
    <dxf>
      <numFmt numFmtId="1" formatCode="0"/>
    </dxf>
    <dxf>
      <numFmt numFmtId="1" formatCode="0"/>
    </dxf>
    <dxf>
      <numFmt numFmtId="13" formatCode="0%"/>
    </dxf>
    <dxf>
      <numFmt numFmtId="1" formatCode="0"/>
    </dxf>
    <dxf>
      <numFmt numFmtId="1" formatCode="0"/>
    </dxf>
    <dxf>
      <fill>
        <patternFill>
          <bgColor theme="8" tint="0.79998168889431442"/>
        </patternFill>
      </fill>
    </dxf>
  </dxfs>
  <tableStyles count="1" defaultTableStyle="TableStyleMedium2" defaultPivotStyle="PivotStyleLight16">
    <tableStyle name="Slicer Style 1" pivot="0" table="0" count="1" xr9:uid="{CD3BBDA7-691A-4137-B8D5-4B75298DEB90}">
      <tableStyleElement type="wholeTable" dxfId="19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Traffic Source  % by Visitor Count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3420949454491907"/>
          <c:y val="0.22876505621194501"/>
          <c:w val="0.46656641667226151"/>
          <c:h val="0.71596389639766556"/>
        </c:manualLayout>
      </c:layout>
      <c:doughnutChart>
        <c:varyColors val="1"/>
        <c:ser>
          <c:idx val="0"/>
          <c:order val="0"/>
          <c:tx>
            <c:strRef>
              <c:f>Pivot!$H$3</c:f>
              <c:strCache>
                <c:ptCount val="1"/>
                <c:pt idx="0">
                  <c:v>Sum of Visitor Count2</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1334-493A-87CE-CCA45EF0DCBC}"/>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1334-493A-87CE-CCA45EF0DCBC}"/>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1334-493A-87CE-CCA45EF0DCBC}"/>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334-493A-87CE-CCA45EF0DC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34-493A-87CE-CCA45EF0DCBC}"/>
              </c:ext>
            </c:extLst>
          </c:dPt>
          <c:dPt>
            <c:idx val="5"/>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B-1334-493A-87CE-CCA45EF0DCBC}"/>
              </c:ext>
            </c:extLst>
          </c:dPt>
          <c:dLbls>
            <c:dLbl>
              <c:idx val="3"/>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1334-493A-87CE-CCA45EF0DCB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Pivot!$F$4:$F$9</c:f>
              <c:strCache>
                <c:ptCount val="6"/>
                <c:pt idx="0">
                  <c:v>Defect</c:v>
                </c:pt>
                <c:pt idx="1">
                  <c:v>Direct</c:v>
                </c:pt>
                <c:pt idx="2">
                  <c:v>Email</c:v>
                </c:pt>
                <c:pt idx="3">
                  <c:v>Paid</c:v>
                </c:pt>
                <c:pt idx="4">
                  <c:v>Referral</c:v>
                </c:pt>
                <c:pt idx="5">
                  <c:v>Social</c:v>
                </c:pt>
              </c:strCache>
            </c:strRef>
          </c:cat>
          <c:val>
            <c:numRef>
              <c:f>Pivot!$H$4:$H$9</c:f>
              <c:numCache>
                <c:formatCode>0%</c:formatCode>
                <c:ptCount val="6"/>
                <c:pt idx="0">
                  <c:v>0.2253936179169824</c:v>
                </c:pt>
                <c:pt idx="1">
                  <c:v>0.20223962280037047</c:v>
                </c:pt>
                <c:pt idx="2">
                  <c:v>0.11989559653111055</c:v>
                </c:pt>
                <c:pt idx="3">
                  <c:v>0.15567904352951081</c:v>
                </c:pt>
                <c:pt idx="4">
                  <c:v>0.11534899385366675</c:v>
                </c:pt>
                <c:pt idx="5">
                  <c:v>0.18144312536835902</c:v>
                </c:pt>
              </c:numCache>
            </c:numRef>
          </c:val>
          <c:extLst>
            <c:ext xmlns:c16="http://schemas.microsoft.com/office/drawing/2014/chart" uri="{C3380CC4-5D6E-409C-BE32-E72D297353CC}">
              <c16:uniqueId val="{0000000C-1334-493A-87CE-CCA45EF0DCBC}"/>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3693983553708986"/>
          <c:y val="0.24246698462517496"/>
          <c:w val="0.21505155111376412"/>
          <c:h val="0.72150162184181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Visit by Traffic Sources</a:t>
            </a:r>
          </a:p>
        </c:rich>
      </c:tx>
      <c:layout>
        <c:manualLayout>
          <c:xMode val="edge"/>
          <c:yMode val="edge"/>
          <c:x val="0.20297986746810612"/>
          <c:y val="4.8648645690654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radarChart>
        <c:radarStyle val="filled"/>
        <c:varyColors val="0"/>
        <c:ser>
          <c:idx val="0"/>
          <c:order val="0"/>
          <c:tx>
            <c:strRef>
              <c:f>Pivot!$G$3</c:f>
              <c:strCache>
                <c:ptCount val="1"/>
                <c:pt idx="0">
                  <c:v>Sum of Visitor Count</c:v>
                </c:pt>
              </c:strCache>
            </c:strRef>
          </c:tx>
          <c:spPr>
            <a:solidFill>
              <a:schemeClr val="accent5">
                <a:lumMod val="75000"/>
              </a:schemeClr>
            </a:solidFill>
            <a:ln>
              <a:noFill/>
            </a:ln>
            <a:effectLst/>
          </c:spPr>
          <c:dLbls>
            <c:dLbl>
              <c:idx val="1"/>
              <c:layout>
                <c:manualLayout>
                  <c:x val="-1.391573928552001E-2"/>
                  <c:y val="-9.7297291381309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33-4B42-BD4C-F01D30BA19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Pivot!$F$4:$F$9</c:f>
              <c:strCache>
                <c:ptCount val="6"/>
                <c:pt idx="0">
                  <c:v>Defect</c:v>
                </c:pt>
                <c:pt idx="1">
                  <c:v>Direct</c:v>
                </c:pt>
                <c:pt idx="2">
                  <c:v>Email</c:v>
                </c:pt>
                <c:pt idx="3">
                  <c:v>Paid</c:v>
                </c:pt>
                <c:pt idx="4">
                  <c:v>Referral</c:v>
                </c:pt>
                <c:pt idx="5">
                  <c:v>Social</c:v>
                </c:pt>
              </c:strCache>
            </c:strRef>
          </c:cat>
          <c:val>
            <c:numRef>
              <c:f>Pivot!$G$4:$G$9</c:f>
              <c:numCache>
                <c:formatCode>General</c:formatCode>
                <c:ptCount val="6"/>
                <c:pt idx="0">
                  <c:v>2677</c:v>
                </c:pt>
                <c:pt idx="1">
                  <c:v>2402</c:v>
                </c:pt>
                <c:pt idx="2">
                  <c:v>1424</c:v>
                </c:pt>
                <c:pt idx="3">
                  <c:v>1849</c:v>
                </c:pt>
                <c:pt idx="4">
                  <c:v>1370</c:v>
                </c:pt>
                <c:pt idx="5">
                  <c:v>2155</c:v>
                </c:pt>
              </c:numCache>
            </c:numRef>
          </c:val>
          <c:extLst>
            <c:ext xmlns:c16="http://schemas.microsoft.com/office/drawing/2014/chart" uri="{C3380CC4-5D6E-409C-BE32-E72D297353CC}">
              <c16:uniqueId val="{00000000-C833-4B42-BD4C-F01D30BA1901}"/>
            </c:ext>
          </c:extLst>
        </c:ser>
        <c:dLbls>
          <c:showLegendKey val="0"/>
          <c:showVal val="1"/>
          <c:showCatName val="0"/>
          <c:showSerName val="0"/>
          <c:showPercent val="0"/>
          <c:showBubbleSize val="0"/>
        </c:dLbls>
        <c:axId val="1831499984"/>
        <c:axId val="1831507184"/>
      </c:radarChart>
      <c:catAx>
        <c:axId val="183149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1507184"/>
        <c:crosses val="autoZero"/>
        <c:auto val="1"/>
        <c:lblAlgn val="ctr"/>
        <c:lblOffset val="100"/>
        <c:noMultiLvlLbl val="0"/>
      </c:catAx>
      <c:valAx>
        <c:axId val="1831507184"/>
        <c:scaling>
          <c:orientation val="minMax"/>
        </c:scaling>
        <c:delete val="1"/>
        <c:axPos val="l"/>
        <c:numFmt formatCode="General" sourceLinked="1"/>
        <c:majorTickMark val="none"/>
        <c:minorTickMark val="none"/>
        <c:tickLblPos val="nextTo"/>
        <c:crossAx val="183149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1818251033855885E-2"/>
          <c:y val="0.20706574089497826"/>
          <c:w val="0.83636349793228826"/>
          <c:h val="0.63226648229971405"/>
        </c:manualLayout>
      </c:layout>
      <c:barChart>
        <c:barDir val="col"/>
        <c:grouping val="clustered"/>
        <c:varyColors val="0"/>
        <c:ser>
          <c:idx val="0"/>
          <c:order val="0"/>
          <c:tx>
            <c:strRef>
              <c:f>Pivot!$U$3</c:f>
              <c:strCache>
                <c:ptCount val="1"/>
                <c:pt idx="0">
                  <c:v>Sum of Visitor Count</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78FC-4ED7-93D4-B4F8E0CF5FE5}"/>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78FC-4ED7-93D4-B4F8E0CF5F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78FC-4ED7-93D4-B4F8E0CF5FE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Pivot!$T$4:$T$6</c:f>
              <c:strCache>
                <c:ptCount val="3"/>
                <c:pt idx="0">
                  <c:v>Guest</c:v>
                </c:pt>
                <c:pt idx="1">
                  <c:v>New</c:v>
                </c:pt>
                <c:pt idx="2">
                  <c:v>Returning</c:v>
                </c:pt>
              </c:strCache>
            </c:strRef>
          </c:cat>
          <c:val>
            <c:numRef>
              <c:f>Pivot!$U$4:$U$6</c:f>
              <c:numCache>
                <c:formatCode>General</c:formatCode>
                <c:ptCount val="3"/>
                <c:pt idx="0">
                  <c:v>924</c:v>
                </c:pt>
                <c:pt idx="1">
                  <c:v>6001</c:v>
                </c:pt>
                <c:pt idx="2">
                  <c:v>4952</c:v>
                </c:pt>
              </c:numCache>
            </c:numRef>
          </c:val>
          <c:extLst>
            <c:ext xmlns:c16="http://schemas.microsoft.com/office/drawing/2014/chart" uri="{C3380CC4-5D6E-409C-BE32-E72D297353CC}">
              <c16:uniqueId val="{00000000-78FC-4ED7-93D4-B4F8E0CF5FE5}"/>
            </c:ext>
          </c:extLst>
        </c:ser>
        <c:dLbls>
          <c:showLegendKey val="0"/>
          <c:showVal val="0"/>
          <c:showCatName val="0"/>
          <c:showSerName val="0"/>
          <c:showPercent val="0"/>
          <c:showBubbleSize val="0"/>
        </c:dLbls>
        <c:gapWidth val="77"/>
        <c:overlap val="-27"/>
        <c:axId val="1905212576"/>
        <c:axId val="1905199136"/>
      </c:barChart>
      <c:catAx>
        <c:axId val="19052125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5199136"/>
        <c:crosses val="autoZero"/>
        <c:auto val="1"/>
        <c:lblAlgn val="ctr"/>
        <c:lblOffset val="100"/>
        <c:noMultiLvlLbl val="0"/>
      </c:catAx>
      <c:valAx>
        <c:axId val="1905199136"/>
        <c:scaling>
          <c:orientation val="minMax"/>
        </c:scaling>
        <c:delete val="1"/>
        <c:axPos val="r"/>
        <c:numFmt formatCode="General" sourceLinked="1"/>
        <c:majorTickMark val="none"/>
        <c:minorTickMark val="none"/>
        <c:tickLblPos val="nextTo"/>
        <c:crossAx val="190521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86694334588131"/>
          <c:y val="0.18139538205372313"/>
          <c:w val="0.68426611330823739"/>
          <c:h val="0.68691772329568268"/>
        </c:manualLayout>
      </c:layout>
      <c:doughnutChart>
        <c:varyColors val="1"/>
        <c:ser>
          <c:idx val="1"/>
          <c:order val="1"/>
          <c:tx>
            <c:strRef>
              <c:f>Pivot!$V$3</c:f>
              <c:strCache>
                <c:ptCount val="1"/>
                <c:pt idx="0">
                  <c:v>Sum of Visitor Count2</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B872-4092-924A-8BEB5E288A3C}"/>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B872-4092-924A-8BEB5E288A3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872-4092-924A-8BEB5E288A3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Pivot!$T$4:$T$6</c:f>
              <c:strCache>
                <c:ptCount val="3"/>
                <c:pt idx="0">
                  <c:v>Guest</c:v>
                </c:pt>
                <c:pt idx="1">
                  <c:v>New</c:v>
                </c:pt>
                <c:pt idx="2">
                  <c:v>Returning</c:v>
                </c:pt>
              </c:strCache>
            </c:strRef>
          </c:cat>
          <c:val>
            <c:numRef>
              <c:f>Pivot!$V$4:$V$6</c:f>
              <c:numCache>
                <c:formatCode>0%</c:formatCode>
                <c:ptCount val="3"/>
                <c:pt idx="0">
                  <c:v>7.7797423591816114E-2</c:v>
                </c:pt>
                <c:pt idx="1">
                  <c:v>0.50526227161741177</c:v>
                </c:pt>
                <c:pt idx="2">
                  <c:v>0.4169403047907721</c:v>
                </c:pt>
              </c:numCache>
            </c:numRef>
          </c:val>
          <c:extLst>
            <c:ext xmlns:c16="http://schemas.microsoft.com/office/drawing/2014/chart" uri="{C3380CC4-5D6E-409C-BE32-E72D297353CC}">
              <c16:uniqueId val="{00000006-B872-4092-924A-8BEB5E288A3C}"/>
            </c:ext>
          </c:extLst>
        </c:ser>
        <c:dLbls>
          <c:showLegendKey val="0"/>
          <c:showVal val="1"/>
          <c:showCatName val="0"/>
          <c:showSerName val="0"/>
          <c:showPercent val="0"/>
          <c:showBubbleSize val="0"/>
          <c:showLeaderLines val="1"/>
        </c:dLbls>
        <c:firstSliceAng val="0"/>
        <c:holeSize val="40"/>
        <c:extLst>
          <c:ext xmlns:c15="http://schemas.microsoft.com/office/drawing/2012/chart" uri="{02D57815-91ED-43cb-92C2-25804820EDAC}">
            <c15:filteredPieSeries>
              <c15:ser>
                <c:idx val="0"/>
                <c:order val="0"/>
                <c:tx>
                  <c:strRef>
                    <c:extLst>
                      <c:ext uri="{02D57815-91ED-43cb-92C2-25804820EDAC}">
                        <c15:formulaRef>
                          <c15:sqref>Pivot!$U$3</c15:sqref>
                        </c15:formulaRef>
                      </c:ext>
                    </c:extLst>
                    <c:strCache>
                      <c:ptCount val="1"/>
                      <c:pt idx="0">
                        <c:v>Sum of Visitor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872-4092-924A-8BEB5E288A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872-4092-924A-8BEB5E288A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872-4092-924A-8BEB5E288A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Pivot!$T$4:$T$6</c15:sqref>
                        </c15:formulaRef>
                      </c:ext>
                    </c:extLst>
                    <c:strCache>
                      <c:ptCount val="3"/>
                      <c:pt idx="0">
                        <c:v>Guest</c:v>
                      </c:pt>
                      <c:pt idx="1">
                        <c:v>New</c:v>
                      </c:pt>
                      <c:pt idx="2">
                        <c:v>Returning</c:v>
                      </c:pt>
                    </c:strCache>
                  </c:strRef>
                </c:cat>
                <c:val>
                  <c:numRef>
                    <c:extLst>
                      <c:ext uri="{02D57815-91ED-43cb-92C2-25804820EDAC}">
                        <c15:formulaRef>
                          <c15:sqref>Pivot!$U$4:$U$6</c15:sqref>
                        </c15:formulaRef>
                      </c:ext>
                    </c:extLst>
                    <c:numCache>
                      <c:formatCode>General</c:formatCode>
                      <c:ptCount val="3"/>
                      <c:pt idx="0">
                        <c:v>924</c:v>
                      </c:pt>
                      <c:pt idx="1">
                        <c:v>6001</c:v>
                      </c:pt>
                      <c:pt idx="2">
                        <c:v>4952</c:v>
                      </c:pt>
                    </c:numCache>
                  </c:numRef>
                </c:val>
                <c:extLst>
                  <c:ext xmlns:c16="http://schemas.microsoft.com/office/drawing/2014/chart" uri="{C3380CC4-5D6E-409C-BE32-E72D297353CC}">
                    <c16:uniqueId val="{0000000D-B872-4092-924A-8BEB5E288A3C}"/>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Visits count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areaChart>
        <c:grouping val="standard"/>
        <c:varyColors val="0"/>
        <c:ser>
          <c:idx val="0"/>
          <c:order val="0"/>
          <c:tx>
            <c:strRef>
              <c:f>Pivot!$Y$3</c:f>
              <c:strCache>
                <c:ptCount val="1"/>
                <c:pt idx="0">
                  <c:v>Sum of Visitor Count</c:v>
                </c:pt>
              </c:strCache>
            </c:strRef>
          </c:tx>
          <c:spPr>
            <a:solidFill>
              <a:schemeClr val="accent5">
                <a:lumMod val="75000"/>
              </a:schemeClr>
            </a:solidFill>
            <a:ln>
              <a:noFill/>
            </a:ln>
            <a:effectLst/>
          </c:spPr>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0EF-4A38-9FD8-B9EF67EF2351}"/>
                </c:ext>
              </c:extLst>
            </c:dLbl>
            <c:dLbl>
              <c:idx val="6"/>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0EF-4A38-9FD8-B9EF67EF23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Pivot!$X$4:$X$10</c:f>
              <c:strCache>
                <c:ptCount val="7"/>
                <c:pt idx="0">
                  <c:v>Jan</c:v>
                </c:pt>
                <c:pt idx="1">
                  <c:v>Feb</c:v>
                </c:pt>
                <c:pt idx="2">
                  <c:v>Mar</c:v>
                </c:pt>
                <c:pt idx="3">
                  <c:v>Apr</c:v>
                </c:pt>
                <c:pt idx="4">
                  <c:v>May</c:v>
                </c:pt>
                <c:pt idx="5">
                  <c:v>Jun</c:v>
                </c:pt>
                <c:pt idx="6">
                  <c:v>Jul</c:v>
                </c:pt>
              </c:strCache>
            </c:strRef>
          </c:cat>
          <c:val>
            <c:numRef>
              <c:f>Pivot!$Y$4:$Y$10</c:f>
              <c:numCache>
                <c:formatCode>General</c:formatCode>
                <c:ptCount val="7"/>
                <c:pt idx="0">
                  <c:v>1245</c:v>
                </c:pt>
                <c:pt idx="1">
                  <c:v>2781</c:v>
                </c:pt>
                <c:pt idx="2">
                  <c:v>2041</c:v>
                </c:pt>
                <c:pt idx="3">
                  <c:v>1604</c:v>
                </c:pt>
                <c:pt idx="4">
                  <c:v>936</c:v>
                </c:pt>
                <c:pt idx="5">
                  <c:v>2099</c:v>
                </c:pt>
                <c:pt idx="6">
                  <c:v>1171</c:v>
                </c:pt>
              </c:numCache>
            </c:numRef>
          </c:val>
          <c:extLst>
            <c:ext xmlns:c16="http://schemas.microsoft.com/office/drawing/2014/chart" uri="{C3380CC4-5D6E-409C-BE32-E72D297353CC}">
              <c16:uniqueId val="{00000000-40EF-4A38-9FD8-B9EF67EF2351}"/>
            </c:ext>
          </c:extLst>
        </c:ser>
        <c:dLbls>
          <c:showLegendKey val="0"/>
          <c:showVal val="1"/>
          <c:showCatName val="0"/>
          <c:showSerName val="0"/>
          <c:showPercent val="0"/>
          <c:showBubbleSize val="0"/>
        </c:dLbls>
        <c:axId val="1905223616"/>
        <c:axId val="1905221696"/>
      </c:areaChart>
      <c:catAx>
        <c:axId val="19052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5221696"/>
        <c:crosses val="autoZero"/>
        <c:auto val="1"/>
        <c:lblAlgn val="ctr"/>
        <c:lblOffset val="100"/>
        <c:noMultiLvlLbl val="0"/>
      </c:catAx>
      <c:valAx>
        <c:axId val="1905221696"/>
        <c:scaling>
          <c:orientation val="minMax"/>
        </c:scaling>
        <c:delete val="1"/>
        <c:axPos val="l"/>
        <c:numFmt formatCode="General" sourceLinked="1"/>
        <c:majorTickMark val="out"/>
        <c:minorTickMark val="none"/>
        <c:tickLblPos val="nextTo"/>
        <c:crossAx val="19052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Bounce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Pivot!$AB$3</c:f>
              <c:strCache>
                <c:ptCount val="1"/>
                <c:pt idx="0">
                  <c:v>Sum of Bounce Rate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5">
                    <a:lumMod val="75000"/>
                  </a:schemeClr>
                </a:solidFill>
                <a:ln w="9525">
                  <a:solidFill>
                    <a:schemeClr val="accent1"/>
                  </a:solidFill>
                </a:ln>
                <a:effectLst/>
              </c:spPr>
            </c:marker>
            <c:bubble3D val="0"/>
            <c:extLst>
              <c:ext xmlns:c16="http://schemas.microsoft.com/office/drawing/2014/chart" uri="{C3380CC4-5D6E-409C-BE32-E72D297353CC}">
                <c16:uniqueId val="{00000001-EC33-438F-82E4-BB184B5921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Pivot!$AA$4:$AA$10</c:f>
              <c:strCache>
                <c:ptCount val="7"/>
                <c:pt idx="0">
                  <c:v>Jan</c:v>
                </c:pt>
                <c:pt idx="1">
                  <c:v>Feb</c:v>
                </c:pt>
                <c:pt idx="2">
                  <c:v>Mar</c:v>
                </c:pt>
                <c:pt idx="3">
                  <c:v>Apr</c:v>
                </c:pt>
                <c:pt idx="4">
                  <c:v>May</c:v>
                </c:pt>
                <c:pt idx="5">
                  <c:v>Jun</c:v>
                </c:pt>
                <c:pt idx="6">
                  <c:v>Jul</c:v>
                </c:pt>
              </c:strCache>
            </c:strRef>
          </c:cat>
          <c:val>
            <c:numRef>
              <c:f>Pivot!$AB$4:$AB$10</c:f>
              <c:numCache>
                <c:formatCode>0</c:formatCode>
                <c:ptCount val="7"/>
                <c:pt idx="0">
                  <c:v>1421.1200000000001</c:v>
                </c:pt>
                <c:pt idx="1">
                  <c:v>1744.17</c:v>
                </c:pt>
                <c:pt idx="2">
                  <c:v>1893.79</c:v>
                </c:pt>
                <c:pt idx="3">
                  <c:v>1709.53</c:v>
                </c:pt>
                <c:pt idx="4">
                  <c:v>2032.67</c:v>
                </c:pt>
                <c:pt idx="5">
                  <c:v>1764.65</c:v>
                </c:pt>
                <c:pt idx="6">
                  <c:v>1208.3</c:v>
                </c:pt>
              </c:numCache>
            </c:numRef>
          </c:val>
          <c:smooth val="0"/>
          <c:extLst>
            <c:ext xmlns:c16="http://schemas.microsoft.com/office/drawing/2014/chart" uri="{C3380CC4-5D6E-409C-BE32-E72D297353CC}">
              <c16:uniqueId val="{00000000-EC33-438F-82E4-BB184B59216D}"/>
            </c:ext>
          </c:extLst>
        </c:ser>
        <c:dLbls>
          <c:dLblPos val="t"/>
          <c:showLegendKey val="0"/>
          <c:showVal val="1"/>
          <c:showCatName val="0"/>
          <c:showSerName val="0"/>
          <c:showPercent val="0"/>
          <c:showBubbleSize val="0"/>
        </c:dLbls>
        <c:marker val="1"/>
        <c:smooth val="0"/>
        <c:axId val="1831514384"/>
        <c:axId val="1831515344"/>
      </c:lineChart>
      <c:catAx>
        <c:axId val="183151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31515344"/>
        <c:crosses val="autoZero"/>
        <c:auto val="1"/>
        <c:lblAlgn val="ctr"/>
        <c:lblOffset val="100"/>
        <c:noMultiLvlLbl val="0"/>
      </c:catAx>
      <c:valAx>
        <c:axId val="1831515344"/>
        <c:scaling>
          <c:orientation val="minMax"/>
          <c:max val="2000"/>
        </c:scaling>
        <c:delete val="1"/>
        <c:axPos val="l"/>
        <c:numFmt formatCode="0" sourceLinked="1"/>
        <c:majorTickMark val="out"/>
        <c:minorTickMark val="none"/>
        <c:tickLblPos val="nextTo"/>
        <c:crossAx val="183151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Top 3 Chanels by Conversion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Pivot!$AG$3</c:f>
              <c:strCache>
                <c:ptCount val="1"/>
                <c:pt idx="0">
                  <c:v>Conversion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Pivot!$AE$4:$AE$6</c:f>
              <c:strCache>
                <c:ptCount val="3"/>
                <c:pt idx="0">
                  <c:v>Direct</c:v>
                </c:pt>
                <c:pt idx="1">
                  <c:v>Organic</c:v>
                </c:pt>
                <c:pt idx="2">
                  <c:v>Paid Search</c:v>
                </c:pt>
              </c:strCache>
            </c:strRef>
          </c:cat>
          <c:val>
            <c:numRef>
              <c:f>Pivot!$AG$4:$AG$6</c:f>
              <c:numCache>
                <c:formatCode>0%</c:formatCode>
                <c:ptCount val="3"/>
                <c:pt idx="0">
                  <c:v>0.41199748263061975</c:v>
                </c:pt>
                <c:pt idx="1">
                  <c:v>0.24309167940707527</c:v>
                </c:pt>
                <c:pt idx="2">
                  <c:v>0.34491083796230509</c:v>
                </c:pt>
              </c:numCache>
            </c:numRef>
          </c:val>
          <c:extLst>
            <c:ext xmlns:c16="http://schemas.microsoft.com/office/drawing/2014/chart" uri="{C3380CC4-5D6E-409C-BE32-E72D297353CC}">
              <c16:uniqueId val="{00000000-BBC2-44CA-AB1F-16C07D37BB29}"/>
            </c:ext>
          </c:extLst>
        </c:ser>
        <c:dLbls>
          <c:dLblPos val="outEnd"/>
          <c:showLegendKey val="0"/>
          <c:showVal val="1"/>
          <c:showCatName val="0"/>
          <c:showSerName val="0"/>
          <c:showPercent val="0"/>
          <c:showBubbleSize val="0"/>
        </c:dLbls>
        <c:gapWidth val="31"/>
        <c:axId val="2105416640"/>
        <c:axId val="2105414240"/>
      </c:barChart>
      <c:catAx>
        <c:axId val="2105416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05414240"/>
        <c:crosses val="autoZero"/>
        <c:auto val="1"/>
        <c:lblAlgn val="ctr"/>
        <c:lblOffset val="100"/>
        <c:noMultiLvlLbl val="0"/>
      </c:catAx>
      <c:valAx>
        <c:axId val="2105414240"/>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54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Bahnschrift Light" panose="020B0502040204020203" pitchFamily="34" charset="0"/>
                <a:ea typeface="+mn-ea"/>
                <a:cs typeface="+mn-cs"/>
              </a:defRPr>
            </a:pPr>
            <a:r>
              <a:rPr lang="en-US" sz="1200" b="1">
                <a:solidFill>
                  <a:schemeClr val="tx1"/>
                </a:solidFill>
              </a:rPr>
              <a:t>Top 3 Pages by Conversion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Bahnschrift Light" panose="020B0502040204020203" pitchFamily="34" charset="0"/>
              <a:ea typeface="+mn-ea"/>
              <a:cs typeface="+mn-cs"/>
            </a:defRPr>
          </a:pPr>
          <a:endParaRPr lang="en-US"/>
        </a:p>
      </c:txPr>
    </c:title>
    <c:autoTitleDeleted val="0"/>
    <c:plotArea>
      <c:layout/>
      <c:barChart>
        <c:barDir val="bar"/>
        <c:grouping val="clustered"/>
        <c:varyColors val="0"/>
        <c:ser>
          <c:idx val="0"/>
          <c:order val="0"/>
          <c:tx>
            <c:strRef>
              <c:f>Pivot!$AP$3</c:f>
              <c:strCache>
                <c:ptCount val="1"/>
                <c:pt idx="0">
                  <c:v>%age Conversion</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Pivot!$AN$4:$AN$6</c:f>
              <c:strCache>
                <c:ptCount val="3"/>
                <c:pt idx="0">
                  <c:v>Page 1</c:v>
                </c:pt>
                <c:pt idx="1">
                  <c:v>Page 2</c:v>
                </c:pt>
                <c:pt idx="2">
                  <c:v>Page 3</c:v>
                </c:pt>
              </c:strCache>
            </c:strRef>
          </c:cat>
          <c:val>
            <c:numRef>
              <c:f>Pivot!$AP$4:$AP$6</c:f>
              <c:numCache>
                <c:formatCode>0%</c:formatCode>
                <c:ptCount val="3"/>
                <c:pt idx="0">
                  <c:v>0.36346391214474638</c:v>
                </c:pt>
                <c:pt idx="1">
                  <c:v>0.35239830235660502</c:v>
                </c:pt>
                <c:pt idx="2">
                  <c:v>0.28413778549864871</c:v>
                </c:pt>
              </c:numCache>
            </c:numRef>
          </c:val>
          <c:extLst>
            <c:ext xmlns:c16="http://schemas.microsoft.com/office/drawing/2014/chart" uri="{C3380CC4-5D6E-409C-BE32-E72D297353CC}">
              <c16:uniqueId val="{00000000-9048-41E4-ADC3-DC7950610512}"/>
            </c:ext>
          </c:extLst>
        </c:ser>
        <c:dLbls>
          <c:dLblPos val="outEnd"/>
          <c:showLegendKey val="0"/>
          <c:showVal val="1"/>
          <c:showCatName val="0"/>
          <c:showSerName val="0"/>
          <c:showPercent val="0"/>
          <c:showBubbleSize val="0"/>
        </c:dLbls>
        <c:gapWidth val="43"/>
        <c:axId val="2105384480"/>
        <c:axId val="2105387840"/>
      </c:barChart>
      <c:catAx>
        <c:axId val="2105384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Bahnschrift Light" panose="020B0502040204020203" pitchFamily="34" charset="0"/>
                <a:ea typeface="+mn-ea"/>
                <a:cs typeface="+mn-cs"/>
              </a:defRPr>
            </a:pPr>
            <a:endParaRPr lang="en-US"/>
          </a:p>
        </c:txPr>
        <c:crossAx val="2105387840"/>
        <c:crosses val="autoZero"/>
        <c:auto val="1"/>
        <c:lblAlgn val="ctr"/>
        <c:lblOffset val="100"/>
        <c:noMultiLvlLbl val="0"/>
      </c:catAx>
      <c:valAx>
        <c:axId val="2105387840"/>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Bahnschrift Light" panose="020B0502040204020203" pitchFamily="34" charset="0"/>
                <a:ea typeface="+mn-ea"/>
                <a:cs typeface="+mn-cs"/>
              </a:defRPr>
            </a:pPr>
            <a:endParaRPr lang="en-US"/>
          </a:p>
        </c:txPr>
        <c:crossAx val="210538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Bahnschrift Light" panose="020B0502040204020203"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Top 4 Campaigns by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564640032670486"/>
          <c:y val="0.30168872136384789"/>
          <c:w val="0.66096717679983663"/>
          <c:h val="0.6577707294681272"/>
        </c:manualLayout>
      </c:layout>
      <c:barChart>
        <c:barDir val="bar"/>
        <c:grouping val="clustered"/>
        <c:varyColors val="0"/>
        <c:ser>
          <c:idx val="0"/>
          <c:order val="0"/>
          <c:tx>
            <c:strRef>
              <c:f>Pivot!$AK$3</c:f>
              <c:strCache>
                <c:ptCount val="1"/>
                <c:pt idx="0">
                  <c:v>%age Conversion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Pivot!$AI$4:$AI$7</c:f>
              <c:strCache>
                <c:ptCount val="4"/>
                <c:pt idx="0">
                  <c:v>Campaign 3</c:v>
                </c:pt>
                <c:pt idx="1">
                  <c:v>Campaign 2</c:v>
                </c:pt>
                <c:pt idx="2">
                  <c:v>Campaign 4</c:v>
                </c:pt>
                <c:pt idx="3">
                  <c:v>Campaign 1</c:v>
                </c:pt>
              </c:strCache>
            </c:strRef>
          </c:cat>
          <c:val>
            <c:numRef>
              <c:f>Pivot!$AK$4:$AK$7</c:f>
              <c:numCache>
                <c:formatCode>0%</c:formatCode>
                <c:ptCount val="4"/>
                <c:pt idx="0">
                  <c:v>0.34389378987554448</c:v>
                </c:pt>
                <c:pt idx="1">
                  <c:v>0.289882727880102</c:v>
                </c:pt>
                <c:pt idx="2">
                  <c:v>0.28848963026559699</c:v>
                </c:pt>
                <c:pt idx="3">
                  <c:v>7.7733851978756568E-2</c:v>
                </c:pt>
              </c:numCache>
            </c:numRef>
          </c:val>
          <c:extLst>
            <c:ext xmlns:c16="http://schemas.microsoft.com/office/drawing/2014/chart" uri="{C3380CC4-5D6E-409C-BE32-E72D297353CC}">
              <c16:uniqueId val="{00000000-0654-497A-930B-D26D7292C004}"/>
            </c:ext>
          </c:extLst>
        </c:ser>
        <c:dLbls>
          <c:dLblPos val="outEnd"/>
          <c:showLegendKey val="0"/>
          <c:showVal val="1"/>
          <c:showCatName val="0"/>
          <c:showSerName val="0"/>
          <c:showPercent val="0"/>
          <c:showBubbleSize val="0"/>
        </c:dLbls>
        <c:gapWidth val="65"/>
        <c:axId val="2105396000"/>
        <c:axId val="2105398880"/>
      </c:barChart>
      <c:catAx>
        <c:axId val="2105396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5398880"/>
        <c:crosses val="autoZero"/>
        <c:auto val="1"/>
        <c:lblAlgn val="ctr"/>
        <c:lblOffset val="100"/>
        <c:noMultiLvlLbl val="0"/>
      </c:catAx>
      <c:valAx>
        <c:axId val="2105398880"/>
        <c:scaling>
          <c:orientation val="minMax"/>
        </c:scaling>
        <c:delete val="1"/>
        <c:axPos val="b"/>
        <c:numFmt formatCode="0%" sourceLinked="1"/>
        <c:majorTickMark val="none"/>
        <c:minorTickMark val="none"/>
        <c:tickLblPos val="nextTo"/>
        <c:crossAx val="210539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120650</xdr:rowOff>
    </xdr:from>
    <xdr:to>
      <xdr:col>19</xdr:col>
      <xdr:colOff>84666</xdr:colOff>
      <xdr:row>33</xdr:row>
      <xdr:rowOff>160100</xdr:rowOff>
    </xdr:to>
    <xdr:sp macro="" textlink="">
      <xdr:nvSpPr>
        <xdr:cNvPr id="2" name="Rectangle 1">
          <a:extLst>
            <a:ext uri="{FF2B5EF4-FFF2-40B4-BE49-F238E27FC236}">
              <a16:creationId xmlns:a16="http://schemas.microsoft.com/office/drawing/2014/main" id="{EAF3774A-7D05-91A7-3EF5-338010403E92}"/>
            </a:ext>
          </a:extLst>
        </xdr:cNvPr>
        <xdr:cNvSpPr/>
      </xdr:nvSpPr>
      <xdr:spPr>
        <a:xfrm>
          <a:off x="50800" y="120650"/>
          <a:ext cx="11562644" cy="6093117"/>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82751</xdr:rowOff>
    </xdr:from>
    <xdr:to>
      <xdr:col>18</xdr:col>
      <xdr:colOff>415584</xdr:colOff>
      <xdr:row>4</xdr:row>
      <xdr:rowOff>89101</xdr:rowOff>
    </xdr:to>
    <xdr:sp macro="" textlink="">
      <xdr:nvSpPr>
        <xdr:cNvPr id="3" name="Rectangle 2">
          <a:extLst>
            <a:ext uri="{FF2B5EF4-FFF2-40B4-BE49-F238E27FC236}">
              <a16:creationId xmlns:a16="http://schemas.microsoft.com/office/drawing/2014/main" id="{B54D619E-6471-2DC4-3BE8-E060696D2263}"/>
            </a:ext>
          </a:extLst>
        </xdr:cNvPr>
        <xdr:cNvSpPr/>
      </xdr:nvSpPr>
      <xdr:spPr>
        <a:xfrm>
          <a:off x="0" y="82751"/>
          <a:ext cx="11301298" cy="732064"/>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bg1"/>
              </a:solidFill>
              <a:latin typeface="Aptos" panose="020B0004020202020204" pitchFamily="34" charset="0"/>
            </a:rPr>
            <a:t>Business</a:t>
          </a:r>
          <a:r>
            <a:rPr lang="en-IN" sz="3200" b="1" baseline="0">
              <a:solidFill>
                <a:schemeClr val="bg1"/>
              </a:solidFill>
              <a:latin typeface="Aptos" panose="020B0004020202020204" pitchFamily="34" charset="0"/>
            </a:rPr>
            <a:t> KPI Weekly Visits Dashboard</a:t>
          </a:r>
          <a:endParaRPr lang="en-IN" sz="3200" b="1">
            <a:solidFill>
              <a:schemeClr val="bg1"/>
            </a:solidFill>
            <a:latin typeface="Aptos" panose="020B0004020202020204" pitchFamily="34" charset="0"/>
          </a:endParaRPr>
        </a:p>
      </xdr:txBody>
    </xdr:sp>
    <xdr:clientData/>
  </xdr:twoCellAnchor>
  <xdr:twoCellAnchor editAs="oneCell">
    <xdr:from>
      <xdr:col>12</xdr:col>
      <xdr:colOff>135721</xdr:colOff>
      <xdr:row>0</xdr:row>
      <xdr:rowOff>105880</xdr:rowOff>
    </xdr:from>
    <xdr:to>
      <xdr:col>13</xdr:col>
      <xdr:colOff>403831</xdr:colOff>
      <xdr:row>4</xdr:row>
      <xdr:rowOff>116316</xdr:rowOff>
    </xdr:to>
    <xdr:pic>
      <xdr:nvPicPr>
        <xdr:cNvPr id="47" name="Graphic 4" descr="Monitor with solid fill">
          <a:extLst>
            <a:ext uri="{FF2B5EF4-FFF2-40B4-BE49-F238E27FC236}">
              <a16:creationId xmlns:a16="http://schemas.microsoft.com/office/drawing/2014/main" id="{D283A329-447D-96A6-77B6-FBE578BE8D05}"/>
            </a:ext>
            <a:ext uri="{147F2762-F138-4A5C-976F-8EAC2B608ADB}">
              <a16:predDERef xmlns:a16="http://schemas.microsoft.com/office/drawing/2014/main" pred="{B54D619E-6471-2DC4-3BE8-E060696D22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50921" y="105880"/>
          <a:ext cx="877710" cy="747036"/>
        </a:xfrm>
        <a:prstGeom prst="rect">
          <a:avLst/>
        </a:prstGeom>
      </xdr:spPr>
    </xdr:pic>
    <xdr:clientData/>
  </xdr:twoCellAnchor>
  <xdr:twoCellAnchor>
    <xdr:from>
      <xdr:col>0</xdr:col>
      <xdr:colOff>76906</xdr:colOff>
      <xdr:row>5</xdr:row>
      <xdr:rowOff>36689</xdr:rowOff>
    </xdr:from>
    <xdr:to>
      <xdr:col>4</xdr:col>
      <xdr:colOff>302506</xdr:colOff>
      <xdr:row>14</xdr:row>
      <xdr:rowOff>178634</xdr:rowOff>
    </xdr:to>
    <xdr:sp macro="" textlink="">
      <xdr:nvSpPr>
        <xdr:cNvPr id="6" name="Rectangle 5">
          <a:extLst>
            <a:ext uri="{FF2B5EF4-FFF2-40B4-BE49-F238E27FC236}">
              <a16:creationId xmlns:a16="http://schemas.microsoft.com/office/drawing/2014/main" id="{E1FB524C-925B-1E50-0536-328D32D86A00}"/>
            </a:ext>
          </a:extLst>
        </xdr:cNvPr>
        <xdr:cNvSpPr/>
      </xdr:nvSpPr>
      <xdr:spPr>
        <a:xfrm>
          <a:off x="76906" y="953911"/>
          <a:ext cx="2652711" cy="179294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415926</xdr:colOff>
      <xdr:row>5</xdr:row>
      <xdr:rowOff>5645</xdr:rowOff>
    </xdr:from>
    <xdr:to>
      <xdr:col>9</xdr:col>
      <xdr:colOff>34748</xdr:colOff>
      <xdr:row>14</xdr:row>
      <xdr:rowOff>147590</xdr:rowOff>
    </xdr:to>
    <xdr:sp macro="" textlink="">
      <xdr:nvSpPr>
        <xdr:cNvPr id="7" name="Rectangle 6">
          <a:extLst>
            <a:ext uri="{FF2B5EF4-FFF2-40B4-BE49-F238E27FC236}">
              <a16:creationId xmlns:a16="http://schemas.microsoft.com/office/drawing/2014/main" id="{030AEE35-F4E5-4150-BBDF-ED0B73032BCC}"/>
            </a:ext>
          </a:extLst>
        </xdr:cNvPr>
        <xdr:cNvSpPr/>
      </xdr:nvSpPr>
      <xdr:spPr>
        <a:xfrm>
          <a:off x="2843037" y="922867"/>
          <a:ext cx="2652711" cy="179294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148167</xdr:colOff>
      <xdr:row>5</xdr:row>
      <xdr:rowOff>21167</xdr:rowOff>
    </xdr:from>
    <xdr:to>
      <xdr:col>14</xdr:col>
      <xdr:colOff>430389</xdr:colOff>
      <xdr:row>14</xdr:row>
      <xdr:rowOff>163112</xdr:rowOff>
    </xdr:to>
    <xdr:sp macro="" textlink="">
      <xdr:nvSpPr>
        <xdr:cNvPr id="8" name="Rectangle 7">
          <a:extLst>
            <a:ext uri="{FF2B5EF4-FFF2-40B4-BE49-F238E27FC236}">
              <a16:creationId xmlns:a16="http://schemas.microsoft.com/office/drawing/2014/main" id="{928BDBAC-48E5-4706-A9E8-3EFD6346B192}"/>
            </a:ext>
          </a:extLst>
        </xdr:cNvPr>
        <xdr:cNvSpPr/>
      </xdr:nvSpPr>
      <xdr:spPr>
        <a:xfrm>
          <a:off x="5609167" y="938389"/>
          <a:ext cx="3316111" cy="179294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81139</xdr:colOff>
      <xdr:row>15</xdr:row>
      <xdr:rowOff>104423</xdr:rowOff>
    </xdr:from>
    <xdr:to>
      <xdr:col>7</xdr:col>
      <xdr:colOff>155223</xdr:colOff>
      <xdr:row>24</xdr:row>
      <xdr:rowOff>56445</xdr:rowOff>
    </xdr:to>
    <xdr:sp macro="" textlink="">
      <xdr:nvSpPr>
        <xdr:cNvPr id="9" name="Rectangle 8">
          <a:extLst>
            <a:ext uri="{FF2B5EF4-FFF2-40B4-BE49-F238E27FC236}">
              <a16:creationId xmlns:a16="http://schemas.microsoft.com/office/drawing/2014/main" id="{BB1EC8BD-E591-4324-9D20-65526F0E9157}"/>
            </a:ext>
          </a:extLst>
        </xdr:cNvPr>
        <xdr:cNvSpPr/>
      </xdr:nvSpPr>
      <xdr:spPr>
        <a:xfrm>
          <a:off x="81139" y="2856090"/>
          <a:ext cx="4321528" cy="160302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268112</xdr:colOff>
      <xdr:row>15</xdr:row>
      <xdr:rowOff>101601</xdr:rowOff>
    </xdr:from>
    <xdr:to>
      <xdr:col>14</xdr:col>
      <xdr:colOff>472722</xdr:colOff>
      <xdr:row>24</xdr:row>
      <xdr:rowOff>28223</xdr:rowOff>
    </xdr:to>
    <xdr:sp macro="" textlink="">
      <xdr:nvSpPr>
        <xdr:cNvPr id="10" name="Rectangle 9">
          <a:extLst>
            <a:ext uri="{FF2B5EF4-FFF2-40B4-BE49-F238E27FC236}">
              <a16:creationId xmlns:a16="http://schemas.microsoft.com/office/drawing/2014/main" id="{72751AF8-2912-461E-9007-B05C825C15F1}"/>
            </a:ext>
          </a:extLst>
        </xdr:cNvPr>
        <xdr:cNvSpPr/>
      </xdr:nvSpPr>
      <xdr:spPr>
        <a:xfrm>
          <a:off x="4515556" y="2853268"/>
          <a:ext cx="4452055" cy="157762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130881</xdr:colOff>
      <xdr:row>25</xdr:row>
      <xdr:rowOff>0</xdr:rowOff>
    </xdr:from>
    <xdr:to>
      <xdr:col>4</xdr:col>
      <xdr:colOff>550333</xdr:colOff>
      <xdr:row>33</xdr:row>
      <xdr:rowOff>67156</xdr:rowOff>
    </xdr:to>
    <xdr:sp macro="" textlink="">
      <xdr:nvSpPr>
        <xdr:cNvPr id="11" name="Rectangle 10">
          <a:extLst>
            <a:ext uri="{FF2B5EF4-FFF2-40B4-BE49-F238E27FC236}">
              <a16:creationId xmlns:a16="http://schemas.microsoft.com/office/drawing/2014/main" id="{74C3D9C3-E873-4E4E-981A-BC92AEFC8999}"/>
            </a:ext>
          </a:extLst>
        </xdr:cNvPr>
        <xdr:cNvSpPr/>
      </xdr:nvSpPr>
      <xdr:spPr>
        <a:xfrm>
          <a:off x="130881" y="4586111"/>
          <a:ext cx="2846563" cy="153471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29281</xdr:colOff>
      <xdr:row>25</xdr:row>
      <xdr:rowOff>4233</xdr:rowOff>
    </xdr:from>
    <xdr:to>
      <xdr:col>9</xdr:col>
      <xdr:colOff>529167</xdr:colOff>
      <xdr:row>33</xdr:row>
      <xdr:rowOff>71389</xdr:rowOff>
    </xdr:to>
    <xdr:sp macro="" textlink="">
      <xdr:nvSpPr>
        <xdr:cNvPr id="12" name="Rectangle 11">
          <a:extLst>
            <a:ext uri="{FF2B5EF4-FFF2-40B4-BE49-F238E27FC236}">
              <a16:creationId xmlns:a16="http://schemas.microsoft.com/office/drawing/2014/main" id="{D6CF9763-E90F-46AE-BA40-63C6D8BF3272}"/>
            </a:ext>
          </a:extLst>
        </xdr:cNvPr>
        <xdr:cNvSpPr/>
      </xdr:nvSpPr>
      <xdr:spPr>
        <a:xfrm>
          <a:off x="3063170" y="4590344"/>
          <a:ext cx="2926997" cy="153471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583848</xdr:colOff>
      <xdr:row>24</xdr:row>
      <xdr:rowOff>170743</xdr:rowOff>
    </xdr:from>
    <xdr:to>
      <xdr:col>14</xdr:col>
      <xdr:colOff>515056</xdr:colOff>
      <xdr:row>33</xdr:row>
      <xdr:rowOff>54455</xdr:rowOff>
    </xdr:to>
    <xdr:sp macro="" textlink="">
      <xdr:nvSpPr>
        <xdr:cNvPr id="13" name="Rectangle 12">
          <a:extLst>
            <a:ext uri="{FF2B5EF4-FFF2-40B4-BE49-F238E27FC236}">
              <a16:creationId xmlns:a16="http://schemas.microsoft.com/office/drawing/2014/main" id="{0BBF32D8-7ADF-445A-8410-3A10FE81EC88}"/>
            </a:ext>
          </a:extLst>
        </xdr:cNvPr>
        <xdr:cNvSpPr/>
      </xdr:nvSpPr>
      <xdr:spPr>
        <a:xfrm>
          <a:off x="6044848" y="4573410"/>
          <a:ext cx="2965097" cy="153471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535517</xdr:colOff>
      <xdr:row>5</xdr:row>
      <xdr:rowOff>32456</xdr:rowOff>
    </xdr:from>
    <xdr:to>
      <xdr:col>19</xdr:col>
      <xdr:colOff>36028</xdr:colOff>
      <xdr:row>9</xdr:row>
      <xdr:rowOff>47478</xdr:rowOff>
    </xdr:to>
    <xdr:sp macro="" textlink="">
      <xdr:nvSpPr>
        <xdr:cNvPr id="14" name="Rectangle 13">
          <a:extLst>
            <a:ext uri="{FF2B5EF4-FFF2-40B4-BE49-F238E27FC236}">
              <a16:creationId xmlns:a16="http://schemas.microsoft.com/office/drawing/2014/main" id="{D1AAE3AC-5272-42F8-9B6B-67FD43DABC0C}"/>
            </a:ext>
          </a:extLst>
        </xdr:cNvPr>
        <xdr:cNvSpPr/>
      </xdr:nvSpPr>
      <xdr:spPr>
        <a:xfrm>
          <a:off x="9030406" y="949678"/>
          <a:ext cx="2534400" cy="748800"/>
        </a:xfrm>
        <a:prstGeom prst="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556684</xdr:colOff>
      <xdr:row>10</xdr:row>
      <xdr:rowOff>16370</xdr:rowOff>
    </xdr:from>
    <xdr:to>
      <xdr:col>19</xdr:col>
      <xdr:colOff>57195</xdr:colOff>
      <xdr:row>14</xdr:row>
      <xdr:rowOff>31392</xdr:rowOff>
    </xdr:to>
    <xdr:sp macro="" textlink="">
      <xdr:nvSpPr>
        <xdr:cNvPr id="16" name="Rectangle 15">
          <a:extLst>
            <a:ext uri="{FF2B5EF4-FFF2-40B4-BE49-F238E27FC236}">
              <a16:creationId xmlns:a16="http://schemas.microsoft.com/office/drawing/2014/main" id="{1B39515E-EAB3-4BF8-85DF-815F051E6189}"/>
            </a:ext>
          </a:extLst>
        </xdr:cNvPr>
        <xdr:cNvSpPr/>
      </xdr:nvSpPr>
      <xdr:spPr>
        <a:xfrm>
          <a:off x="9051573" y="1850814"/>
          <a:ext cx="2534400" cy="748800"/>
        </a:xfrm>
        <a:prstGeom prst="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535517</xdr:colOff>
      <xdr:row>14</xdr:row>
      <xdr:rowOff>141394</xdr:rowOff>
    </xdr:from>
    <xdr:to>
      <xdr:col>19</xdr:col>
      <xdr:colOff>36028</xdr:colOff>
      <xdr:row>18</xdr:row>
      <xdr:rowOff>156416</xdr:rowOff>
    </xdr:to>
    <xdr:sp macro="" textlink="">
      <xdr:nvSpPr>
        <xdr:cNvPr id="18" name="Rectangle 17">
          <a:extLst>
            <a:ext uri="{FF2B5EF4-FFF2-40B4-BE49-F238E27FC236}">
              <a16:creationId xmlns:a16="http://schemas.microsoft.com/office/drawing/2014/main" id="{E03DA062-A45A-4586-AE03-5659E402E9B0}"/>
            </a:ext>
          </a:extLst>
        </xdr:cNvPr>
        <xdr:cNvSpPr/>
      </xdr:nvSpPr>
      <xdr:spPr>
        <a:xfrm>
          <a:off x="9030406" y="2709616"/>
          <a:ext cx="2534400" cy="748800"/>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563740</xdr:colOff>
      <xdr:row>19</xdr:row>
      <xdr:rowOff>111196</xdr:rowOff>
    </xdr:from>
    <xdr:to>
      <xdr:col>19</xdr:col>
      <xdr:colOff>64251</xdr:colOff>
      <xdr:row>23</xdr:row>
      <xdr:rowOff>126218</xdr:rowOff>
    </xdr:to>
    <xdr:sp macro="" textlink="">
      <xdr:nvSpPr>
        <xdr:cNvPr id="19" name="Rectangle 18">
          <a:extLst>
            <a:ext uri="{FF2B5EF4-FFF2-40B4-BE49-F238E27FC236}">
              <a16:creationId xmlns:a16="http://schemas.microsoft.com/office/drawing/2014/main" id="{E9C0603B-1C5A-4B4E-AC0B-D0AEB665E12D}"/>
            </a:ext>
          </a:extLst>
        </xdr:cNvPr>
        <xdr:cNvSpPr/>
      </xdr:nvSpPr>
      <xdr:spPr>
        <a:xfrm>
          <a:off x="9058629" y="3596640"/>
          <a:ext cx="2534400" cy="74880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535517</xdr:colOff>
      <xdr:row>24</xdr:row>
      <xdr:rowOff>66887</xdr:rowOff>
    </xdr:from>
    <xdr:to>
      <xdr:col>19</xdr:col>
      <xdr:colOff>36028</xdr:colOff>
      <xdr:row>28</xdr:row>
      <xdr:rowOff>81910</xdr:rowOff>
    </xdr:to>
    <xdr:sp macro="" textlink="">
      <xdr:nvSpPr>
        <xdr:cNvPr id="20" name="Rectangle 19">
          <a:extLst>
            <a:ext uri="{FF2B5EF4-FFF2-40B4-BE49-F238E27FC236}">
              <a16:creationId xmlns:a16="http://schemas.microsoft.com/office/drawing/2014/main" id="{5FA819AD-F09E-45E2-AC5B-557E158210BE}"/>
            </a:ext>
          </a:extLst>
        </xdr:cNvPr>
        <xdr:cNvSpPr/>
      </xdr:nvSpPr>
      <xdr:spPr>
        <a:xfrm>
          <a:off x="9030406" y="4469554"/>
          <a:ext cx="2534400" cy="748800"/>
        </a:xfrm>
        <a:prstGeom prst="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556684</xdr:colOff>
      <xdr:row>29</xdr:row>
      <xdr:rowOff>71967</xdr:rowOff>
    </xdr:from>
    <xdr:to>
      <xdr:col>19</xdr:col>
      <xdr:colOff>57195</xdr:colOff>
      <xdr:row>33</xdr:row>
      <xdr:rowOff>86989</xdr:rowOff>
    </xdr:to>
    <xdr:sp macro="" textlink="">
      <xdr:nvSpPr>
        <xdr:cNvPr id="21" name="Rectangle 20">
          <a:extLst>
            <a:ext uri="{FF2B5EF4-FFF2-40B4-BE49-F238E27FC236}">
              <a16:creationId xmlns:a16="http://schemas.microsoft.com/office/drawing/2014/main" id="{CF5EAF8E-CE6F-4413-B469-47A7666EF4D7}"/>
            </a:ext>
          </a:extLst>
        </xdr:cNvPr>
        <xdr:cNvSpPr/>
      </xdr:nvSpPr>
      <xdr:spPr>
        <a:xfrm>
          <a:off x="9051573" y="5391856"/>
          <a:ext cx="2534400" cy="748800"/>
        </a:xfrm>
        <a:prstGeom prst="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479778</xdr:colOff>
      <xdr:row>14</xdr:row>
      <xdr:rowOff>141113</xdr:rowOff>
    </xdr:from>
    <xdr:to>
      <xdr:col>19</xdr:col>
      <xdr:colOff>46566</xdr:colOff>
      <xdr:row>19</xdr:row>
      <xdr:rowOff>4235</xdr:rowOff>
    </xdr:to>
    <xdr:pic>
      <xdr:nvPicPr>
        <xdr:cNvPr id="25" name="Graphic 24" descr="Eye with solid fill">
          <a:extLst>
            <a:ext uri="{FF2B5EF4-FFF2-40B4-BE49-F238E27FC236}">
              <a16:creationId xmlns:a16="http://schemas.microsoft.com/office/drawing/2014/main" id="{8A36A39F-B64E-E861-A299-FB2A37776D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795000" y="2709335"/>
          <a:ext cx="780344" cy="780344"/>
        </a:xfrm>
        <a:prstGeom prst="rect">
          <a:avLst/>
        </a:prstGeom>
      </xdr:spPr>
    </xdr:pic>
    <xdr:clientData/>
  </xdr:twoCellAnchor>
  <xdr:twoCellAnchor editAs="oneCell">
    <xdr:from>
      <xdr:col>17</xdr:col>
      <xdr:colOff>522110</xdr:colOff>
      <xdr:row>10</xdr:row>
      <xdr:rowOff>7058</xdr:rowOff>
    </xdr:from>
    <xdr:to>
      <xdr:col>19</xdr:col>
      <xdr:colOff>60677</xdr:colOff>
      <xdr:row>14</xdr:row>
      <xdr:rowOff>25403</xdr:rowOff>
    </xdr:to>
    <xdr:pic>
      <xdr:nvPicPr>
        <xdr:cNvPr id="27" name="Graphic 26" descr="Clock with solid fill">
          <a:extLst>
            <a:ext uri="{FF2B5EF4-FFF2-40B4-BE49-F238E27FC236}">
              <a16:creationId xmlns:a16="http://schemas.microsoft.com/office/drawing/2014/main" id="{2E726A14-CBEA-F501-9BB6-3D5E147E24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837332" y="1841502"/>
          <a:ext cx="752123" cy="752123"/>
        </a:xfrm>
        <a:prstGeom prst="rect">
          <a:avLst/>
        </a:prstGeom>
      </xdr:spPr>
    </xdr:pic>
    <xdr:clientData/>
  </xdr:twoCellAnchor>
  <xdr:twoCellAnchor editAs="oneCell">
    <xdr:from>
      <xdr:col>17</xdr:col>
      <xdr:colOff>451556</xdr:colOff>
      <xdr:row>19</xdr:row>
      <xdr:rowOff>81847</xdr:rowOff>
    </xdr:from>
    <xdr:to>
      <xdr:col>19</xdr:col>
      <xdr:colOff>21166</xdr:colOff>
      <xdr:row>23</xdr:row>
      <xdr:rowOff>131235</xdr:rowOff>
    </xdr:to>
    <xdr:pic>
      <xdr:nvPicPr>
        <xdr:cNvPr id="29" name="Graphic 28" descr="Warning with solid fill">
          <a:extLst>
            <a:ext uri="{FF2B5EF4-FFF2-40B4-BE49-F238E27FC236}">
              <a16:creationId xmlns:a16="http://schemas.microsoft.com/office/drawing/2014/main" id="{BFA9D692-0CBD-EF1C-E3BD-47C169C1DF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766778" y="3567291"/>
          <a:ext cx="783166" cy="783166"/>
        </a:xfrm>
        <a:prstGeom prst="rect">
          <a:avLst/>
        </a:prstGeom>
      </xdr:spPr>
    </xdr:pic>
    <xdr:clientData/>
  </xdr:twoCellAnchor>
  <xdr:twoCellAnchor editAs="oneCell">
    <xdr:from>
      <xdr:col>17</xdr:col>
      <xdr:colOff>493889</xdr:colOff>
      <xdr:row>5</xdr:row>
      <xdr:rowOff>35277</xdr:rowOff>
    </xdr:from>
    <xdr:to>
      <xdr:col>19</xdr:col>
      <xdr:colOff>103011</xdr:colOff>
      <xdr:row>9</xdr:row>
      <xdr:rowOff>124177</xdr:rowOff>
    </xdr:to>
    <xdr:pic>
      <xdr:nvPicPr>
        <xdr:cNvPr id="31" name="Graphic 30" descr="User with solid fill">
          <a:extLst>
            <a:ext uri="{FF2B5EF4-FFF2-40B4-BE49-F238E27FC236}">
              <a16:creationId xmlns:a16="http://schemas.microsoft.com/office/drawing/2014/main" id="{D829B7EE-FFF3-6420-837C-A22F6ADE7B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09111" y="952499"/>
          <a:ext cx="822678" cy="822678"/>
        </a:xfrm>
        <a:prstGeom prst="rect">
          <a:avLst/>
        </a:prstGeom>
      </xdr:spPr>
    </xdr:pic>
    <xdr:clientData/>
  </xdr:twoCellAnchor>
  <xdr:twoCellAnchor editAs="oneCell">
    <xdr:from>
      <xdr:col>17</xdr:col>
      <xdr:colOff>515055</xdr:colOff>
      <xdr:row>29</xdr:row>
      <xdr:rowOff>21164</xdr:rowOff>
    </xdr:from>
    <xdr:to>
      <xdr:col>19</xdr:col>
      <xdr:colOff>69566</xdr:colOff>
      <xdr:row>33</xdr:row>
      <xdr:rowOff>55453</xdr:rowOff>
    </xdr:to>
    <xdr:pic>
      <xdr:nvPicPr>
        <xdr:cNvPr id="33" name="Graphic 32" descr="List with solid fill">
          <a:extLst>
            <a:ext uri="{FF2B5EF4-FFF2-40B4-BE49-F238E27FC236}">
              <a16:creationId xmlns:a16="http://schemas.microsoft.com/office/drawing/2014/main" id="{D26BD389-9E84-5344-2ED8-53084FCA6A6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830277" y="5341053"/>
          <a:ext cx="768067" cy="768067"/>
        </a:xfrm>
        <a:prstGeom prst="rect">
          <a:avLst/>
        </a:prstGeom>
      </xdr:spPr>
    </xdr:pic>
    <xdr:clientData/>
  </xdr:twoCellAnchor>
  <xdr:twoCellAnchor editAs="oneCell">
    <xdr:from>
      <xdr:col>17</xdr:col>
      <xdr:colOff>522110</xdr:colOff>
      <xdr:row>24</xdr:row>
      <xdr:rowOff>77610</xdr:rowOff>
    </xdr:from>
    <xdr:to>
      <xdr:col>19</xdr:col>
      <xdr:colOff>88899</xdr:colOff>
      <xdr:row>28</xdr:row>
      <xdr:rowOff>124178</xdr:rowOff>
    </xdr:to>
    <xdr:pic>
      <xdr:nvPicPr>
        <xdr:cNvPr id="35" name="Graphic 34" descr="Upward trend with solid fill">
          <a:extLst>
            <a:ext uri="{FF2B5EF4-FFF2-40B4-BE49-F238E27FC236}">
              <a16:creationId xmlns:a16="http://schemas.microsoft.com/office/drawing/2014/main" id="{55EC57A8-7CD4-519A-340F-C104670487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837332" y="4480277"/>
          <a:ext cx="780345" cy="780345"/>
        </a:xfrm>
        <a:prstGeom prst="rect">
          <a:avLst/>
        </a:prstGeom>
      </xdr:spPr>
    </xdr:pic>
    <xdr:clientData/>
  </xdr:twoCellAnchor>
  <xdr:oneCellAnchor>
    <xdr:from>
      <xdr:col>15</xdr:col>
      <xdr:colOff>204611</xdr:colOff>
      <xdr:row>6</xdr:row>
      <xdr:rowOff>91721</xdr:rowOff>
    </xdr:from>
    <xdr:ext cx="1389944" cy="366889"/>
    <xdr:sp macro="" textlink="">
      <xdr:nvSpPr>
        <xdr:cNvPr id="36" name="TextBox 35">
          <a:extLst>
            <a:ext uri="{FF2B5EF4-FFF2-40B4-BE49-F238E27FC236}">
              <a16:creationId xmlns:a16="http://schemas.microsoft.com/office/drawing/2014/main" id="{5D321DE3-7152-D877-F5A5-8A1F5A1C6BBC}"/>
            </a:ext>
          </a:extLst>
        </xdr:cNvPr>
        <xdr:cNvSpPr txBox="1"/>
      </xdr:nvSpPr>
      <xdr:spPr>
        <a:xfrm>
          <a:off x="9306278" y="1192388"/>
          <a:ext cx="1389944" cy="3668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15</xdr:col>
      <xdr:colOff>204612</xdr:colOff>
      <xdr:row>5</xdr:row>
      <xdr:rowOff>70557</xdr:rowOff>
    </xdr:from>
    <xdr:ext cx="1502832" cy="444500"/>
    <xdr:sp macro="" textlink="">
      <xdr:nvSpPr>
        <xdr:cNvPr id="37" name="TextBox 36">
          <a:extLst>
            <a:ext uri="{FF2B5EF4-FFF2-40B4-BE49-F238E27FC236}">
              <a16:creationId xmlns:a16="http://schemas.microsoft.com/office/drawing/2014/main" id="{FE275451-3BCA-26EE-15FE-E110C71CFF40}"/>
            </a:ext>
          </a:extLst>
        </xdr:cNvPr>
        <xdr:cNvSpPr txBox="1"/>
      </xdr:nvSpPr>
      <xdr:spPr>
        <a:xfrm>
          <a:off x="9306279" y="987779"/>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2000" b="1">
            <a:solidFill>
              <a:schemeClr val="bg1"/>
            </a:solidFill>
          </a:endParaRPr>
        </a:p>
      </xdr:txBody>
    </xdr:sp>
    <xdr:clientData/>
  </xdr:oneCellAnchor>
  <xdr:oneCellAnchor>
    <xdr:from>
      <xdr:col>15</xdr:col>
      <xdr:colOff>237068</xdr:colOff>
      <xdr:row>7</xdr:row>
      <xdr:rowOff>39513</xdr:rowOff>
    </xdr:from>
    <xdr:ext cx="1502832" cy="444500"/>
    <xdr:sp macro="" textlink="Pivot!B4">
      <xdr:nvSpPr>
        <xdr:cNvPr id="39" name="TextBox 38">
          <a:extLst>
            <a:ext uri="{FF2B5EF4-FFF2-40B4-BE49-F238E27FC236}">
              <a16:creationId xmlns:a16="http://schemas.microsoft.com/office/drawing/2014/main" id="{EC7C5DB4-353E-4049-8870-CD63C1B4EE93}"/>
            </a:ext>
          </a:extLst>
        </xdr:cNvPr>
        <xdr:cNvSpPr txBox="1"/>
      </xdr:nvSpPr>
      <xdr:spPr>
        <a:xfrm>
          <a:off x="9338735" y="1323624"/>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i="1">
              <a:solidFill>
                <a:schemeClr val="bg1"/>
              </a:solidFill>
              <a:latin typeface="Bodoni MT" panose="02070603080606020203" pitchFamily="18" charset="0"/>
            </a:rPr>
            <a:t>Visits</a:t>
          </a:r>
        </a:p>
      </xdr:txBody>
    </xdr:sp>
    <xdr:clientData/>
  </xdr:oneCellAnchor>
  <xdr:oneCellAnchor>
    <xdr:from>
      <xdr:col>15</xdr:col>
      <xdr:colOff>198969</xdr:colOff>
      <xdr:row>10</xdr:row>
      <xdr:rowOff>28223</xdr:rowOff>
    </xdr:from>
    <xdr:ext cx="1502832" cy="416277"/>
    <xdr:sp macro="" textlink="Pivot!B5">
      <xdr:nvSpPr>
        <xdr:cNvPr id="42" name="TextBox 41">
          <a:extLst>
            <a:ext uri="{FF2B5EF4-FFF2-40B4-BE49-F238E27FC236}">
              <a16:creationId xmlns:a16="http://schemas.microsoft.com/office/drawing/2014/main" id="{F26743EC-72D6-4D6A-8AF1-35143562BC7E}"/>
            </a:ext>
          </a:extLst>
        </xdr:cNvPr>
        <xdr:cNvSpPr txBox="1"/>
      </xdr:nvSpPr>
      <xdr:spPr>
        <a:xfrm>
          <a:off x="9300636" y="1862667"/>
          <a:ext cx="1502832" cy="416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24DB2A0-B023-4B7C-9BE8-657E97C40CFE}" type="TxLink">
            <a:rPr lang="en-US" sz="1800" b="1" i="0" u="none" strike="noStrike">
              <a:solidFill>
                <a:schemeClr val="bg1"/>
              </a:solidFill>
              <a:latin typeface="Aptos Narrow"/>
            </a:rPr>
            <a:pPr algn="ctr"/>
            <a:t>0.86</a:t>
          </a:fld>
          <a:endParaRPr lang="en-IN" sz="3600" b="1">
            <a:solidFill>
              <a:schemeClr val="bg1"/>
            </a:solidFill>
          </a:endParaRPr>
        </a:p>
      </xdr:txBody>
    </xdr:sp>
    <xdr:clientData/>
  </xdr:oneCellAnchor>
  <xdr:oneCellAnchor>
    <xdr:from>
      <xdr:col>15</xdr:col>
      <xdr:colOff>262469</xdr:colOff>
      <xdr:row>11</xdr:row>
      <xdr:rowOff>107246</xdr:rowOff>
    </xdr:from>
    <xdr:ext cx="1502832" cy="444500"/>
    <xdr:sp macro="" textlink="">
      <xdr:nvSpPr>
        <xdr:cNvPr id="44" name="TextBox 43">
          <a:extLst>
            <a:ext uri="{FF2B5EF4-FFF2-40B4-BE49-F238E27FC236}">
              <a16:creationId xmlns:a16="http://schemas.microsoft.com/office/drawing/2014/main" id="{BAE992D1-32C1-42FB-8C2F-B15F234BF7DD}"/>
            </a:ext>
          </a:extLst>
        </xdr:cNvPr>
        <xdr:cNvSpPr txBox="1"/>
      </xdr:nvSpPr>
      <xdr:spPr>
        <a:xfrm>
          <a:off x="9364136" y="2125135"/>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i="0" u="none" strike="noStrike">
              <a:solidFill>
                <a:schemeClr val="bg1"/>
              </a:solidFill>
              <a:latin typeface="Aptos Narrow"/>
            </a:rPr>
            <a:t>Avg</a:t>
          </a:r>
          <a:r>
            <a:rPr lang="en-IN" sz="2000" b="1" i="0" u="none" strike="noStrike" baseline="0">
              <a:solidFill>
                <a:schemeClr val="bg1"/>
              </a:solidFill>
              <a:latin typeface="Aptos Narrow"/>
            </a:rPr>
            <a:t> </a:t>
          </a:r>
          <a:r>
            <a:rPr lang="en-IN" sz="2000" b="1" i="1" u="none" strike="noStrike" baseline="0">
              <a:solidFill>
                <a:schemeClr val="bg1"/>
              </a:solidFill>
              <a:latin typeface="Arial Narrow" panose="020B0606020202030204" pitchFamily="34" charset="0"/>
              <a:cs typeface="Arial" panose="020B0604020202020204" pitchFamily="34" charset="0"/>
            </a:rPr>
            <a:t>Session</a:t>
          </a:r>
          <a:r>
            <a:rPr lang="en-IN" sz="2000" b="1" i="0" u="none" strike="noStrike" baseline="0">
              <a:solidFill>
                <a:schemeClr val="bg1"/>
              </a:solidFill>
              <a:latin typeface="Aptos Narrow"/>
            </a:rPr>
            <a:t> </a:t>
          </a:r>
          <a:endParaRPr lang="en-IN" sz="2000" b="1" i="0" u="none" strike="noStrike">
            <a:solidFill>
              <a:schemeClr val="bg1"/>
            </a:solidFill>
            <a:latin typeface="Aptos Narrow"/>
          </a:endParaRPr>
        </a:p>
      </xdr:txBody>
    </xdr:sp>
    <xdr:clientData/>
  </xdr:oneCellAnchor>
  <xdr:oneCellAnchor>
    <xdr:from>
      <xdr:col>15</xdr:col>
      <xdr:colOff>366889</xdr:colOff>
      <xdr:row>15</xdr:row>
      <xdr:rowOff>28222</xdr:rowOff>
    </xdr:from>
    <xdr:ext cx="1262944" cy="324555"/>
    <xdr:sp macro="" textlink="Pivot!B6">
      <xdr:nvSpPr>
        <xdr:cNvPr id="45" name="TextBox 44">
          <a:extLst>
            <a:ext uri="{FF2B5EF4-FFF2-40B4-BE49-F238E27FC236}">
              <a16:creationId xmlns:a16="http://schemas.microsoft.com/office/drawing/2014/main" id="{017F7A8E-F3CF-4B40-9C08-C0CF05B69E43}"/>
            </a:ext>
          </a:extLst>
        </xdr:cNvPr>
        <xdr:cNvSpPr txBox="1"/>
      </xdr:nvSpPr>
      <xdr:spPr>
        <a:xfrm>
          <a:off x="9468556" y="2779889"/>
          <a:ext cx="1262944" cy="3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CF3EF31-51D6-47D4-BFA8-CD2F3F89E062}" type="TxLink">
            <a:rPr lang="en-US" sz="1800" b="1" i="0" u="none" strike="noStrike">
              <a:solidFill>
                <a:schemeClr val="bg1"/>
              </a:solidFill>
              <a:latin typeface="Aptos Narrow"/>
            </a:rPr>
            <a:pPr algn="ctr"/>
            <a:t>3.48</a:t>
          </a:fld>
          <a:endParaRPr lang="en-IN" sz="1800" b="1">
            <a:solidFill>
              <a:schemeClr val="bg1"/>
            </a:solidFill>
          </a:endParaRPr>
        </a:p>
      </xdr:txBody>
    </xdr:sp>
    <xdr:clientData/>
  </xdr:oneCellAnchor>
  <xdr:oneCellAnchor>
    <xdr:from>
      <xdr:col>15</xdr:col>
      <xdr:colOff>385233</xdr:colOff>
      <xdr:row>16</xdr:row>
      <xdr:rowOff>124178</xdr:rowOff>
    </xdr:from>
    <xdr:ext cx="1262944" cy="324555"/>
    <xdr:sp macro="" textlink="">
      <xdr:nvSpPr>
        <xdr:cNvPr id="4" name="TextBox 3">
          <a:extLst>
            <a:ext uri="{FF2B5EF4-FFF2-40B4-BE49-F238E27FC236}">
              <a16:creationId xmlns:a16="http://schemas.microsoft.com/office/drawing/2014/main" id="{FF16D62A-8CDC-4F53-8245-B91F5528FEC2}"/>
            </a:ext>
          </a:extLst>
        </xdr:cNvPr>
        <xdr:cNvSpPr txBox="1"/>
      </xdr:nvSpPr>
      <xdr:spPr>
        <a:xfrm>
          <a:off x="9486900" y="3059289"/>
          <a:ext cx="1262944" cy="3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i="0" u="none" strike="noStrike">
              <a:solidFill>
                <a:schemeClr val="bg1"/>
              </a:solidFill>
              <a:latin typeface="Bodoni MT" panose="02070603080606020203" pitchFamily="18" charset="0"/>
            </a:rPr>
            <a:t>Per</a:t>
          </a:r>
          <a:r>
            <a:rPr lang="en-US" sz="1800" b="1" i="0" u="none" strike="noStrike" baseline="0">
              <a:solidFill>
                <a:schemeClr val="bg1"/>
              </a:solidFill>
              <a:latin typeface="Aptos Narrow"/>
            </a:rPr>
            <a:t> Visit</a:t>
          </a:r>
        </a:p>
        <a:p>
          <a:pPr algn="ctr"/>
          <a:endParaRPr lang="en-US" sz="1800" b="1" i="0" u="none" strike="noStrike">
            <a:solidFill>
              <a:schemeClr val="bg1"/>
            </a:solidFill>
            <a:latin typeface="Aptos Narrow"/>
          </a:endParaRPr>
        </a:p>
      </xdr:txBody>
    </xdr:sp>
    <xdr:clientData/>
  </xdr:oneCellAnchor>
  <xdr:oneCellAnchor>
    <xdr:from>
      <xdr:col>19</xdr:col>
      <xdr:colOff>437445</xdr:colOff>
      <xdr:row>8</xdr:row>
      <xdr:rowOff>119945</xdr:rowOff>
    </xdr:from>
    <xdr:ext cx="1262944" cy="324555"/>
    <xdr:sp macro="" textlink="Pivot!B6">
      <xdr:nvSpPr>
        <xdr:cNvPr id="15" name="TextBox 14">
          <a:extLst>
            <a:ext uri="{FF2B5EF4-FFF2-40B4-BE49-F238E27FC236}">
              <a16:creationId xmlns:a16="http://schemas.microsoft.com/office/drawing/2014/main" id="{404CAD0B-79A4-406F-8920-9CAB215B8924}"/>
            </a:ext>
          </a:extLst>
        </xdr:cNvPr>
        <xdr:cNvSpPr txBox="1"/>
      </xdr:nvSpPr>
      <xdr:spPr>
        <a:xfrm>
          <a:off x="11966223" y="1587501"/>
          <a:ext cx="1262944" cy="3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CF3EF31-51D6-47D4-BFA8-CD2F3F89E062}" type="TxLink">
            <a:rPr lang="en-US" sz="1800" b="1" i="0" u="none" strike="noStrike">
              <a:solidFill>
                <a:schemeClr val="bg1"/>
              </a:solidFill>
              <a:latin typeface="Aptos Narrow"/>
            </a:rPr>
            <a:pPr algn="ctr"/>
            <a:t>3.48</a:t>
          </a:fld>
          <a:endParaRPr lang="en-IN" sz="1800" b="1">
            <a:solidFill>
              <a:schemeClr val="bg1"/>
            </a:solidFill>
          </a:endParaRPr>
        </a:p>
      </xdr:txBody>
    </xdr:sp>
    <xdr:clientData/>
  </xdr:oneCellAnchor>
  <xdr:twoCellAnchor>
    <xdr:from>
      <xdr:col>0</xdr:col>
      <xdr:colOff>3880</xdr:colOff>
      <xdr:row>4</xdr:row>
      <xdr:rowOff>178153</xdr:rowOff>
    </xdr:from>
    <xdr:to>
      <xdr:col>4</xdr:col>
      <xdr:colOff>272696</xdr:colOff>
      <xdr:row>14</xdr:row>
      <xdr:rowOff>103011</xdr:rowOff>
    </xdr:to>
    <xdr:graphicFrame macro="">
      <xdr:nvGraphicFramePr>
        <xdr:cNvPr id="24" name="Chart 23">
          <a:extLst>
            <a:ext uri="{FF2B5EF4-FFF2-40B4-BE49-F238E27FC236}">
              <a16:creationId xmlns:a16="http://schemas.microsoft.com/office/drawing/2014/main" id="{F5202BEA-9C50-4FC6-A259-4FBF69F61EF5}"/>
            </a:ext>
            <a:ext uri="{147F2762-F138-4A5C-976F-8EAC2B608ADB}">
              <a16:predDERef xmlns:a16="http://schemas.microsoft.com/office/drawing/2014/main" pred="{404CAD0B-79A4-406F-8920-9CAB215B8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425804</xdr:colOff>
      <xdr:row>5</xdr:row>
      <xdr:rowOff>57150</xdr:rowOff>
    </xdr:from>
    <xdr:to>
      <xdr:col>9</xdr:col>
      <xdr:colOff>129822</xdr:colOff>
      <xdr:row>15</xdr:row>
      <xdr:rowOff>52564</xdr:rowOff>
    </xdr:to>
    <xdr:graphicFrame macro="">
      <xdr:nvGraphicFramePr>
        <xdr:cNvPr id="32" name="Chart 31">
          <a:extLst>
            <a:ext uri="{FF2B5EF4-FFF2-40B4-BE49-F238E27FC236}">
              <a16:creationId xmlns:a16="http://schemas.microsoft.com/office/drawing/2014/main" id="{625A82AD-08A7-4D40-9C63-942F8B2C655C}"/>
            </a:ext>
            <a:ext uri="{147F2762-F138-4A5C-976F-8EAC2B608ADB}">
              <a16:predDERef xmlns:a16="http://schemas.microsoft.com/office/drawing/2014/main" pred="{F5202BEA-9C50-4FC6-A259-4FBF69F61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148168</xdr:colOff>
      <xdr:row>5</xdr:row>
      <xdr:rowOff>21167</xdr:rowOff>
    </xdr:from>
    <xdr:to>
      <xdr:col>12</xdr:col>
      <xdr:colOff>35278</xdr:colOff>
      <xdr:row>15</xdr:row>
      <xdr:rowOff>14111</xdr:rowOff>
    </xdr:to>
    <xdr:graphicFrame macro="">
      <xdr:nvGraphicFramePr>
        <xdr:cNvPr id="38" name="Chart 37">
          <a:extLst>
            <a:ext uri="{FF2B5EF4-FFF2-40B4-BE49-F238E27FC236}">
              <a16:creationId xmlns:a16="http://schemas.microsoft.com/office/drawing/2014/main" id="{3B6DF276-B97C-480A-ADD5-FEAE9B233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608191</xdr:colOff>
      <xdr:row>5</xdr:row>
      <xdr:rowOff>28575</xdr:rowOff>
    </xdr:from>
    <xdr:to>
      <xdr:col>14</xdr:col>
      <xdr:colOff>464256</xdr:colOff>
      <xdr:row>15</xdr:row>
      <xdr:rowOff>14463</xdr:rowOff>
    </xdr:to>
    <xdr:graphicFrame macro="">
      <xdr:nvGraphicFramePr>
        <xdr:cNvPr id="46" name="Chart 40">
          <a:extLst>
            <a:ext uri="{FF2B5EF4-FFF2-40B4-BE49-F238E27FC236}">
              <a16:creationId xmlns:a16="http://schemas.microsoft.com/office/drawing/2014/main" id="{93B0F106-0838-4CCF-B801-24292DB97D6B}"/>
            </a:ext>
            <a:ext uri="{147F2762-F138-4A5C-976F-8EAC2B608ADB}">
              <a16:predDERef xmlns:a16="http://schemas.microsoft.com/office/drawing/2014/main" pred="{3B6DF276-B97C-480A-ADD5-FEAE9B233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56445</xdr:colOff>
      <xdr:row>15</xdr:row>
      <xdr:rowOff>105834</xdr:rowOff>
    </xdr:from>
    <xdr:to>
      <xdr:col>7</xdr:col>
      <xdr:colOff>141112</xdr:colOff>
      <xdr:row>24</xdr:row>
      <xdr:rowOff>77612</xdr:rowOff>
    </xdr:to>
    <xdr:graphicFrame macro="">
      <xdr:nvGraphicFramePr>
        <xdr:cNvPr id="49" name="Chart 48">
          <a:extLst>
            <a:ext uri="{FF2B5EF4-FFF2-40B4-BE49-F238E27FC236}">
              <a16:creationId xmlns:a16="http://schemas.microsoft.com/office/drawing/2014/main" id="{7AC1734A-EA24-42AC-8477-6EE0C0B3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254000</xdr:colOff>
      <xdr:row>15</xdr:row>
      <xdr:rowOff>101602</xdr:rowOff>
    </xdr:from>
    <xdr:to>
      <xdr:col>14</xdr:col>
      <xdr:colOff>515055</xdr:colOff>
      <xdr:row>23</xdr:row>
      <xdr:rowOff>155223</xdr:rowOff>
    </xdr:to>
    <xdr:graphicFrame macro="">
      <xdr:nvGraphicFramePr>
        <xdr:cNvPr id="51" name="Chart 50">
          <a:extLst>
            <a:ext uri="{FF2B5EF4-FFF2-40B4-BE49-F238E27FC236}">
              <a16:creationId xmlns:a16="http://schemas.microsoft.com/office/drawing/2014/main" id="{D7DAED6D-2EE4-4636-86E6-08D332D68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130881</xdr:colOff>
      <xdr:row>25</xdr:row>
      <xdr:rowOff>0</xdr:rowOff>
    </xdr:from>
    <xdr:to>
      <xdr:col>4</xdr:col>
      <xdr:colOff>599722</xdr:colOff>
      <xdr:row>33</xdr:row>
      <xdr:rowOff>77611</xdr:rowOff>
    </xdr:to>
    <xdr:graphicFrame macro="">
      <xdr:nvGraphicFramePr>
        <xdr:cNvPr id="53" name="Chart 52">
          <a:extLst>
            <a:ext uri="{FF2B5EF4-FFF2-40B4-BE49-F238E27FC236}">
              <a16:creationId xmlns:a16="http://schemas.microsoft.com/office/drawing/2014/main" id="{476E7E6C-BEAA-4834-9963-559E9E918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56444</xdr:colOff>
      <xdr:row>24</xdr:row>
      <xdr:rowOff>148167</xdr:rowOff>
    </xdr:from>
    <xdr:to>
      <xdr:col>9</xdr:col>
      <xdr:colOff>536223</xdr:colOff>
      <xdr:row>33</xdr:row>
      <xdr:rowOff>49389</xdr:rowOff>
    </xdr:to>
    <xdr:graphicFrame macro="">
      <xdr:nvGraphicFramePr>
        <xdr:cNvPr id="55" name="Chart 54">
          <a:extLst>
            <a:ext uri="{FF2B5EF4-FFF2-40B4-BE49-F238E27FC236}">
              <a16:creationId xmlns:a16="http://schemas.microsoft.com/office/drawing/2014/main" id="{E3E05622-FAC4-40C7-AAE7-593F59841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606777</xdr:colOff>
      <xdr:row>24</xdr:row>
      <xdr:rowOff>176389</xdr:rowOff>
    </xdr:from>
    <xdr:to>
      <xdr:col>14</xdr:col>
      <xdr:colOff>486833</xdr:colOff>
      <xdr:row>33</xdr:row>
      <xdr:rowOff>91722</xdr:rowOff>
    </xdr:to>
    <xdr:graphicFrame macro="">
      <xdr:nvGraphicFramePr>
        <xdr:cNvPr id="57" name="Chart 56">
          <a:extLst>
            <a:ext uri="{FF2B5EF4-FFF2-40B4-BE49-F238E27FC236}">
              <a16:creationId xmlns:a16="http://schemas.microsoft.com/office/drawing/2014/main" id="{C48B9D1F-5781-40E3-85F6-D94995447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16</xdr:col>
      <xdr:colOff>154850</xdr:colOff>
      <xdr:row>19</xdr:row>
      <xdr:rowOff>124029</xdr:rowOff>
    </xdr:from>
    <xdr:ext cx="1192389" cy="374077"/>
    <xdr:sp macro="" textlink="Pivot!$B$7">
      <xdr:nvSpPr>
        <xdr:cNvPr id="58" name="TextBox 57">
          <a:extLst>
            <a:ext uri="{FF2B5EF4-FFF2-40B4-BE49-F238E27FC236}">
              <a16:creationId xmlns:a16="http://schemas.microsoft.com/office/drawing/2014/main" id="{96D1B9CC-5838-69F2-56C8-15BA4FF6B609}"/>
            </a:ext>
          </a:extLst>
        </xdr:cNvPr>
        <xdr:cNvSpPr txBox="1"/>
      </xdr:nvSpPr>
      <xdr:spPr>
        <a:xfrm>
          <a:off x="9913797" y="3616529"/>
          <a:ext cx="119238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27CB50D-0F20-424C-AD6B-9458A2D6EE09}" type="TxLink">
            <a:rPr lang="en-US" sz="1800" b="1" i="0" u="none" strike="noStrike">
              <a:solidFill>
                <a:schemeClr val="accent1"/>
              </a:solidFill>
              <a:latin typeface="Aptos Narrow"/>
            </a:rPr>
            <a:pPr/>
            <a:t>99%</a:t>
          </a:fld>
          <a:endParaRPr lang="en-IN" sz="1800" b="1">
            <a:solidFill>
              <a:schemeClr val="accent1"/>
            </a:solidFill>
          </a:endParaRPr>
        </a:p>
      </xdr:txBody>
    </xdr:sp>
    <xdr:clientData/>
  </xdr:oneCellAnchor>
  <xdr:oneCellAnchor>
    <xdr:from>
      <xdr:col>16</xdr:col>
      <xdr:colOff>86523</xdr:colOff>
      <xdr:row>24</xdr:row>
      <xdr:rowOff>158750</xdr:rowOff>
    </xdr:from>
    <xdr:ext cx="1573389" cy="374077"/>
    <xdr:sp macro="" textlink="Pivot!$B$8">
      <xdr:nvSpPr>
        <xdr:cNvPr id="59" name="TextBox 58">
          <a:extLst>
            <a:ext uri="{FF2B5EF4-FFF2-40B4-BE49-F238E27FC236}">
              <a16:creationId xmlns:a16="http://schemas.microsoft.com/office/drawing/2014/main" id="{D28DCBC2-F500-8B29-16B8-DFFC14D40717}"/>
            </a:ext>
          </a:extLst>
        </xdr:cNvPr>
        <xdr:cNvSpPr txBox="1"/>
      </xdr:nvSpPr>
      <xdr:spPr>
        <a:xfrm>
          <a:off x="9845470" y="4570329"/>
          <a:ext cx="157338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813859-392B-4570-A90D-AF183D21BA63}" type="TxLink">
            <a:rPr lang="en-US" sz="1800" b="1" i="0" u="none" strike="noStrike">
              <a:solidFill>
                <a:schemeClr val="bg1"/>
              </a:solidFill>
              <a:latin typeface="Aptos Narrow"/>
            </a:rPr>
            <a:pPr/>
            <a:t>10548</a:t>
          </a:fld>
          <a:endParaRPr lang="en-IN" sz="2800" b="1">
            <a:solidFill>
              <a:schemeClr val="bg1"/>
            </a:solidFill>
          </a:endParaRPr>
        </a:p>
      </xdr:txBody>
    </xdr:sp>
    <xdr:clientData/>
  </xdr:oneCellAnchor>
  <xdr:oneCellAnchor>
    <xdr:from>
      <xdr:col>15</xdr:col>
      <xdr:colOff>367632</xdr:colOff>
      <xdr:row>29</xdr:row>
      <xdr:rowOff>84665</xdr:rowOff>
    </xdr:from>
    <xdr:ext cx="1395329" cy="458427"/>
    <xdr:sp macro="" textlink="">
      <xdr:nvSpPr>
        <xdr:cNvPr id="60" name="TextBox 59">
          <a:extLst>
            <a:ext uri="{FF2B5EF4-FFF2-40B4-BE49-F238E27FC236}">
              <a16:creationId xmlns:a16="http://schemas.microsoft.com/office/drawing/2014/main" id="{658B0B38-3735-9A03-44A6-589F90A13437}"/>
            </a:ext>
          </a:extLst>
        </xdr:cNvPr>
        <xdr:cNvSpPr txBox="1"/>
      </xdr:nvSpPr>
      <xdr:spPr>
        <a:xfrm>
          <a:off x="9516645" y="5415323"/>
          <a:ext cx="1395329" cy="4584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15</xdr:col>
      <xdr:colOff>522111</xdr:colOff>
      <xdr:row>29</xdr:row>
      <xdr:rowOff>70555</xdr:rowOff>
    </xdr:from>
    <xdr:ext cx="1100666" cy="409224"/>
    <xdr:sp macro="" textlink="Pivot!$B$9">
      <xdr:nvSpPr>
        <xdr:cNvPr id="61" name="TextBox 60">
          <a:extLst>
            <a:ext uri="{FF2B5EF4-FFF2-40B4-BE49-F238E27FC236}">
              <a16:creationId xmlns:a16="http://schemas.microsoft.com/office/drawing/2014/main" id="{D13A9507-A321-030E-7526-1B6FF0693837}"/>
            </a:ext>
          </a:extLst>
        </xdr:cNvPr>
        <xdr:cNvSpPr txBox="1"/>
      </xdr:nvSpPr>
      <xdr:spPr>
        <a:xfrm>
          <a:off x="9623778" y="5390444"/>
          <a:ext cx="1100666" cy="409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fld id="{3B88F7CA-76EB-47EC-8405-1589DB4C757A}" type="TxLink">
            <a:rPr lang="en-US" sz="2000" b="1" i="0" u="none" strike="noStrike">
              <a:solidFill>
                <a:schemeClr val="bg1"/>
              </a:solidFill>
              <a:latin typeface="Aptos Narrow"/>
            </a:rPr>
            <a:pPr/>
            <a:t>21%</a:t>
          </a:fld>
          <a:endParaRPr lang="en-IN" sz="2000" b="1">
            <a:solidFill>
              <a:schemeClr val="bg1"/>
            </a:solidFill>
          </a:endParaRPr>
        </a:p>
      </xdr:txBody>
    </xdr:sp>
    <xdr:clientData/>
  </xdr:oneCellAnchor>
  <xdr:twoCellAnchor editAs="oneCell">
    <xdr:from>
      <xdr:col>13</xdr:col>
      <xdr:colOff>564444</xdr:colOff>
      <xdr:row>0</xdr:row>
      <xdr:rowOff>136172</xdr:rowOff>
    </xdr:from>
    <xdr:to>
      <xdr:col>19</xdr:col>
      <xdr:colOff>2116</xdr:colOff>
      <xdr:row>4</xdr:row>
      <xdr:rowOff>98778</xdr:rowOff>
    </xdr:to>
    <mc:AlternateContent xmlns:mc="http://schemas.openxmlformats.org/markup-compatibility/2006" xmlns:a14="http://schemas.microsoft.com/office/drawing/2010/main">
      <mc:Choice Requires="a14">
        <xdr:graphicFrame macro="">
          <xdr:nvGraphicFramePr>
            <xdr:cNvPr id="63" name="Month">
              <a:extLst>
                <a:ext uri="{FF2B5EF4-FFF2-40B4-BE49-F238E27FC236}">
                  <a16:creationId xmlns:a16="http://schemas.microsoft.com/office/drawing/2014/main" id="{ABC549A4-FF09-4419-94BE-3B64A701EF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484782" y="136172"/>
              <a:ext cx="3093212" cy="683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15</xdr:col>
      <xdr:colOff>260513</xdr:colOff>
      <xdr:row>5</xdr:row>
      <xdr:rowOff>113975</xdr:rowOff>
    </xdr:from>
    <xdr:ext cx="1465384" cy="374077"/>
    <xdr:sp macro="" textlink="">
      <xdr:nvSpPr>
        <xdr:cNvPr id="64" name="TextBox 63">
          <a:extLst>
            <a:ext uri="{FF2B5EF4-FFF2-40B4-BE49-F238E27FC236}">
              <a16:creationId xmlns:a16="http://schemas.microsoft.com/office/drawing/2014/main" id="{F3B45794-AE94-1488-07AF-995DD5EE4E5B}"/>
            </a:ext>
          </a:extLst>
        </xdr:cNvPr>
        <xdr:cNvSpPr txBox="1"/>
      </xdr:nvSpPr>
      <xdr:spPr>
        <a:xfrm>
          <a:off x="9409526" y="1033054"/>
          <a:ext cx="146538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800" b="1">
            <a:solidFill>
              <a:schemeClr val="bg1"/>
            </a:solidFill>
          </a:endParaRPr>
        </a:p>
      </xdr:txBody>
    </xdr:sp>
    <xdr:clientData/>
  </xdr:oneCellAnchor>
  <xdr:oneCellAnchor>
    <xdr:from>
      <xdr:col>15</xdr:col>
      <xdr:colOff>217237</xdr:colOff>
      <xdr:row>5</xdr:row>
      <xdr:rowOff>125328</xdr:rowOff>
    </xdr:from>
    <xdr:ext cx="1813092" cy="342851"/>
    <xdr:sp macro="" textlink="Pivot!B4">
      <xdr:nvSpPr>
        <xdr:cNvPr id="17" name="TextBox 16">
          <a:extLst>
            <a:ext uri="{FF2B5EF4-FFF2-40B4-BE49-F238E27FC236}">
              <a16:creationId xmlns:a16="http://schemas.microsoft.com/office/drawing/2014/main" id="{3CD26C32-FDE7-E128-785E-C97B62BF16A0}"/>
            </a:ext>
          </a:extLst>
        </xdr:cNvPr>
        <xdr:cNvSpPr txBox="1"/>
      </xdr:nvSpPr>
      <xdr:spPr>
        <a:xfrm>
          <a:off x="9366250" y="1044407"/>
          <a:ext cx="181309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0BC208-A2E5-4F11-9129-6922306050BB}" type="TxLink">
            <a:rPr lang="en-US" sz="1600" b="1" i="0" u="none" strike="noStrike">
              <a:solidFill>
                <a:schemeClr val="bg1"/>
              </a:solidFill>
              <a:latin typeface="Aptos Narrow"/>
            </a:rPr>
            <a:pPr/>
            <a:t>11877</a:t>
          </a:fld>
          <a:endParaRPr lang="en-IN" sz="1600" b="1">
            <a:solidFill>
              <a:schemeClr val="bg1"/>
            </a:solidFill>
          </a:endParaRPr>
        </a:p>
      </xdr:txBody>
    </xdr:sp>
    <xdr:clientData/>
  </xdr:oneCellAnchor>
  <xdr:oneCellAnchor>
    <xdr:from>
      <xdr:col>15</xdr:col>
      <xdr:colOff>260219</xdr:colOff>
      <xdr:row>21</xdr:row>
      <xdr:rowOff>33780</xdr:rowOff>
    </xdr:from>
    <xdr:ext cx="1502832" cy="444500"/>
    <xdr:sp macro="" textlink="">
      <xdr:nvSpPr>
        <xdr:cNvPr id="22" name="TextBox 21">
          <a:extLst>
            <a:ext uri="{FF2B5EF4-FFF2-40B4-BE49-F238E27FC236}">
              <a16:creationId xmlns:a16="http://schemas.microsoft.com/office/drawing/2014/main" id="{F8288B87-1E44-443C-8DA6-AD17F47D59FD}"/>
            </a:ext>
          </a:extLst>
        </xdr:cNvPr>
        <xdr:cNvSpPr txBox="1"/>
      </xdr:nvSpPr>
      <xdr:spPr>
        <a:xfrm>
          <a:off x="9338735" y="3992608"/>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i="1" u="none" strike="noStrike">
              <a:solidFill>
                <a:schemeClr val="bg1"/>
              </a:solidFill>
              <a:latin typeface="Bodoni MT" panose="02070603080606020203" pitchFamily="18" charset="0"/>
            </a:rPr>
            <a:t>Pages</a:t>
          </a:r>
        </a:p>
      </xdr:txBody>
    </xdr:sp>
    <xdr:clientData/>
  </xdr:oneCellAnchor>
  <xdr:oneCellAnchor>
    <xdr:from>
      <xdr:col>15</xdr:col>
      <xdr:colOff>293557</xdr:colOff>
      <xdr:row>26</xdr:row>
      <xdr:rowOff>67118</xdr:rowOff>
    </xdr:from>
    <xdr:ext cx="1502832" cy="444500"/>
    <xdr:sp macro="" textlink="">
      <xdr:nvSpPr>
        <xdr:cNvPr id="28" name="TextBox 27">
          <a:extLst>
            <a:ext uri="{FF2B5EF4-FFF2-40B4-BE49-F238E27FC236}">
              <a16:creationId xmlns:a16="http://schemas.microsoft.com/office/drawing/2014/main" id="{358F4F1D-083A-4CED-9B46-3091139093EE}"/>
            </a:ext>
          </a:extLst>
        </xdr:cNvPr>
        <xdr:cNvSpPr txBox="1"/>
      </xdr:nvSpPr>
      <xdr:spPr>
        <a:xfrm>
          <a:off x="9372073" y="4968524"/>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i="1" u="none" strike="noStrike">
              <a:solidFill>
                <a:schemeClr val="bg1"/>
              </a:solidFill>
              <a:latin typeface="Bodoni MT" panose="02070603080606020203" pitchFamily="18" charset="0"/>
            </a:rPr>
            <a:t>Views</a:t>
          </a:r>
        </a:p>
      </xdr:txBody>
    </xdr:sp>
    <xdr:clientData/>
  </xdr:oneCellAnchor>
  <xdr:oneCellAnchor>
    <xdr:from>
      <xdr:col>15</xdr:col>
      <xdr:colOff>108613</xdr:colOff>
      <xdr:row>31</xdr:row>
      <xdr:rowOff>31003</xdr:rowOff>
    </xdr:from>
    <xdr:ext cx="1502832" cy="444500"/>
    <xdr:sp macro="" textlink="">
      <xdr:nvSpPr>
        <xdr:cNvPr id="30" name="TextBox 29">
          <a:extLst>
            <a:ext uri="{FF2B5EF4-FFF2-40B4-BE49-F238E27FC236}">
              <a16:creationId xmlns:a16="http://schemas.microsoft.com/office/drawing/2014/main" id="{135AB401-C2F3-4E84-A7A9-ACE76D43B7E6}"/>
            </a:ext>
          </a:extLst>
        </xdr:cNvPr>
        <xdr:cNvSpPr txBox="1"/>
      </xdr:nvSpPr>
      <xdr:spPr>
        <a:xfrm>
          <a:off x="9187129" y="5874987"/>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i="1" u="none" strike="noStrike" baseline="0">
              <a:solidFill>
                <a:schemeClr val="bg1"/>
              </a:solidFill>
              <a:latin typeface="Bodoni MT" panose="02070603080606020203" pitchFamily="18" charset="0"/>
            </a:rPr>
            <a:t> Conversion</a:t>
          </a:r>
          <a:endParaRPr lang="en-IN" sz="700" b="1" i="1" u="none" strike="noStrike" baseline="0">
            <a:solidFill>
              <a:schemeClr val="bg1"/>
            </a:solidFill>
            <a:latin typeface="Bodoni MT" panose="02070603080606020203" pitchFamily="18" charset="0"/>
          </a:endParaRPr>
        </a:p>
        <a:p>
          <a:pPr algn="ctr"/>
          <a:endParaRPr lang="en-IN" sz="2000" b="1" i="1" u="none" strike="noStrike">
            <a:solidFill>
              <a:schemeClr val="bg1"/>
            </a:solidFill>
            <a:latin typeface="Bodoni MT" panose="02070603080606020203" pitchFamily="18" charset="0"/>
          </a:endParaRPr>
        </a:p>
      </xdr:txBody>
    </xdr:sp>
    <xdr:clientData/>
  </xdr:oneCellAnchor>
  <xdr:oneCellAnchor>
    <xdr:from>
      <xdr:col>15</xdr:col>
      <xdr:colOff>105041</xdr:colOff>
      <xdr:row>31</xdr:row>
      <xdr:rowOff>57197</xdr:rowOff>
    </xdr:from>
    <xdr:ext cx="1502832" cy="444500"/>
    <xdr:sp macro="" textlink="">
      <xdr:nvSpPr>
        <xdr:cNvPr id="40" name="TextBox 39">
          <a:extLst>
            <a:ext uri="{FF2B5EF4-FFF2-40B4-BE49-F238E27FC236}">
              <a16:creationId xmlns:a16="http://schemas.microsoft.com/office/drawing/2014/main" id="{FBE44C31-340B-4712-9261-AA04AD2A9F7B}"/>
            </a:ext>
          </a:extLst>
        </xdr:cNvPr>
        <xdr:cNvSpPr txBox="1"/>
      </xdr:nvSpPr>
      <xdr:spPr>
        <a:xfrm>
          <a:off x="9183557" y="5901181"/>
          <a:ext cx="1502832"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i="1" u="none" strike="noStrike">
              <a:solidFill>
                <a:schemeClr val="bg1"/>
              </a:solidFill>
              <a:latin typeface="Bodoni MT" panose="02070603080606020203" pitchFamily="18" charset="0"/>
            </a:rPr>
            <a:t>Goal</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0.66082</cdr:x>
      <cdr:y>0.20482</cdr:y>
    </cdr:from>
    <cdr:to>
      <cdr:x>1</cdr:x>
      <cdr:y>0.7253</cdr:y>
    </cdr:to>
    <cdr:sp macro="" textlink="">
      <cdr:nvSpPr>
        <cdr:cNvPr id="2" name="TextBox 1">
          <a:extLst xmlns:a="http://schemas.openxmlformats.org/drawingml/2006/main">
            <a:ext uri="{FF2B5EF4-FFF2-40B4-BE49-F238E27FC236}">
              <a16:creationId xmlns:a16="http://schemas.microsoft.com/office/drawing/2014/main" id="{8BC68534-C43F-E034-DBD1-23578064FEAE}"/>
            </a:ext>
          </a:extLst>
        </cdr:cNvPr>
        <cdr:cNvSpPr txBox="1"/>
      </cdr:nvSpPr>
      <cdr:spPr>
        <a:xfrm xmlns:a="http://schemas.openxmlformats.org/drawingml/2006/main">
          <a:off x="2653594" y="35983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0.66082</cdr:x>
      <cdr:y>0.19277</cdr:y>
    </cdr:from>
    <cdr:to>
      <cdr:x>1</cdr:x>
      <cdr:y>0.71325</cdr:y>
    </cdr:to>
    <cdr:sp macro="" textlink="">
      <cdr:nvSpPr>
        <cdr:cNvPr id="3" name="TextBox 2">
          <a:extLst xmlns:a="http://schemas.openxmlformats.org/drawingml/2006/main">
            <a:ext uri="{FF2B5EF4-FFF2-40B4-BE49-F238E27FC236}">
              <a16:creationId xmlns:a16="http://schemas.microsoft.com/office/drawing/2014/main" id="{BA49DC06-F622-7F4D-C3CB-169FF4D7E5FF}"/>
            </a:ext>
          </a:extLst>
        </cdr:cNvPr>
        <cdr:cNvSpPr txBox="1"/>
      </cdr:nvSpPr>
      <cdr:spPr>
        <a:xfrm xmlns:a="http://schemas.openxmlformats.org/drawingml/2006/main">
          <a:off x="2652889" y="33866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b" refreshedDate="46031.565269212966" createdVersion="8" refreshedVersion="8" minRefreshableVersion="3" recordCount="195" xr:uid="{E21BEA61-2280-4BDF-AA02-F7E112826C23}">
  <cacheSource type="worksheet">
    <worksheetSource name="Table1"/>
  </cacheSource>
  <cacheFields count="20">
    <cacheField name="Traffic Source Type" numFmtId="0">
      <sharedItems count="6">
        <s v="Social"/>
        <s v="Direct"/>
        <s v="Paid"/>
        <s v="Defect"/>
        <s v="Referral"/>
        <s v="Email"/>
      </sharedItems>
    </cacheField>
    <cacheField name="Traffic Source %" numFmtId="0">
      <sharedItems containsSemiMixedTypes="0" containsString="0" containsNumber="1" containsInteger="1" minValue="14" maxValue="91"/>
    </cacheField>
    <cacheField name="Visitor Type" numFmtId="0">
      <sharedItems count="3">
        <s v="Returning"/>
        <s v="New"/>
        <s v="Guest"/>
      </sharedItems>
    </cacheField>
    <cacheField name="Visitor Count" numFmtId="0">
      <sharedItems containsString="0" containsBlank="1" containsNumber="1" containsInteger="1" minValue="0" maxValue="439" count="86">
        <n v="52"/>
        <n v="125"/>
        <n v="45"/>
        <n v="39"/>
        <m/>
        <n v="35"/>
        <n v="155"/>
        <n v="28"/>
        <n v="114"/>
        <n v="11"/>
        <n v="30"/>
        <n v="26"/>
        <n v="42"/>
        <n v="38"/>
        <n v="32"/>
        <n v="150"/>
        <n v="12"/>
        <n v="134"/>
        <n v="27"/>
        <n v="25"/>
        <n v="300"/>
        <n v="78"/>
        <n v="350"/>
        <n v="439"/>
        <n v="50"/>
        <n v="80"/>
        <n v="87"/>
        <n v="250"/>
        <n v="40"/>
        <n v="46"/>
        <n v="135"/>
        <n v="43"/>
        <n v="100"/>
        <n v="8"/>
        <n v="143"/>
        <n v="10"/>
        <n v="56"/>
        <n v="24"/>
        <n v="37"/>
        <n v="133"/>
        <n v="60"/>
        <n v="333"/>
        <n v="6"/>
        <n v="13"/>
        <n v="29"/>
        <n v="156"/>
        <n v="33"/>
        <n v="139"/>
        <n v="160"/>
        <n v="3"/>
        <n v="129"/>
        <n v="58"/>
        <n v="22"/>
        <n v="61"/>
        <n v="130"/>
        <n v="115"/>
        <n v="54"/>
        <n v="2"/>
        <n v="34"/>
        <n v="128"/>
        <n v="20"/>
        <n v="5"/>
        <n v="113"/>
        <n v="0"/>
        <n v="122"/>
        <n v="18"/>
        <n v="15"/>
        <n v="7"/>
        <n v="119"/>
        <n v="116"/>
        <n v="4"/>
        <n v="55"/>
        <n v="84"/>
        <n v="88"/>
        <n v="137"/>
        <n v="66"/>
        <n v="53"/>
        <n v="64"/>
        <n v="157"/>
        <n v="269"/>
        <n v="19"/>
        <n v="62"/>
        <n v="57"/>
        <n v="120"/>
        <n v="16"/>
        <n v="14"/>
      </sharedItems>
    </cacheField>
    <cacheField name="Visitor Date" numFmtId="14">
      <sharedItems containsSemiMixedTypes="0" containsNonDate="0" containsDate="1" containsString="0" minDate="2022-01-09T00:00:00" maxDate="2022-07-23T00:00:00"/>
    </cacheField>
    <cacheField name="Visits (in thousands)" numFmtId="0">
      <sharedItems containsSemiMixedTypes="0" containsString="0" containsNumber="1" containsInteger="1" minValue="6" maxValue="55"/>
    </cacheField>
    <cacheField name="Bounce Rate %" numFmtId="0">
      <sharedItems containsSemiMixedTypes="0" containsString="0" containsNumber="1" minValue="5" maxValue="91.5"/>
    </cacheField>
    <cacheField name="Avg. Session Duration (sec)" numFmtId="0">
      <sharedItems containsSemiMixedTypes="0" containsString="0" containsNumber="1" containsInteger="1" minValue="15" maxValue="79"/>
    </cacheField>
    <cacheField name="Pages Per Visit" numFmtId="0">
      <sharedItems containsSemiMixedTypes="0" containsString="0" containsNumber="1" minValue="2.5" maxValue="4.5999999999999996"/>
    </cacheField>
    <cacheField name="Bounce Rate" numFmtId="0">
      <sharedItems containsString="0" containsBlank="1" containsNumber="1" minValue="0" maxValue="68"/>
    </cacheField>
    <cacheField name="Total Page Views" numFmtId="0">
      <sharedItems containsSemiMixedTypes="0" containsString="0" containsNumber="1" containsInteger="1" minValue="25" maxValue="99" count="46">
        <n v="69"/>
        <n v="56"/>
        <n v="33"/>
        <n v="28"/>
        <n v="35"/>
        <n v="29"/>
        <n v="34"/>
        <n v="95"/>
        <n v="65"/>
        <n v="94"/>
        <n v="75"/>
        <n v="68"/>
        <n v="57"/>
        <n v="31"/>
        <n v="27"/>
        <n v="36"/>
        <n v="90"/>
        <n v="64"/>
        <n v="93"/>
        <n v="76"/>
        <n v="66"/>
        <n v="32"/>
        <n v="89"/>
        <n v="71"/>
        <n v="55"/>
        <n v="30"/>
        <n v="72"/>
        <n v="54"/>
        <n v="37"/>
        <n v="96"/>
        <n v="62"/>
        <n v="80"/>
        <n v="73"/>
        <n v="58"/>
        <n v="49"/>
        <n v="60"/>
        <n v="51"/>
        <n v="78"/>
        <n v="45"/>
        <n v="52"/>
        <n v="39"/>
        <n v="38"/>
        <n v="25"/>
        <n v="98"/>
        <n v="99"/>
        <n v="46"/>
      </sharedItems>
    </cacheField>
    <cacheField name="Goal Conversion Rate %" numFmtId="0">
      <sharedItems containsSemiMixedTypes="0" containsString="0" containsNumber="1" minValue="4" maxValue="18.5"/>
    </cacheField>
    <cacheField name="Channel" numFmtId="0">
      <sharedItems count="3">
        <s v="Paid Search"/>
        <s v="Direct"/>
        <s v="Organic"/>
      </sharedItems>
    </cacheField>
    <cacheField name="Conversion % (Channel)" numFmtId="0">
      <sharedItems containsSemiMixedTypes="0" containsString="0" containsNumber="1" minValue="4" maxValue="27.5"/>
    </cacheField>
    <cacheField name="Campaign Name" numFmtId="0">
      <sharedItems count="4">
        <s v="Campaign 2"/>
        <s v="Campaign 1"/>
        <s v="Campaign 3"/>
        <s v="Campaign 4"/>
      </sharedItems>
    </cacheField>
    <cacheField name="Conversion % (Campaign)" numFmtId="0">
      <sharedItems containsSemiMixedTypes="0" containsString="0" containsNumber="1" minValue="6.5" maxValue="20.5"/>
    </cacheField>
    <cacheField name="Page Name" numFmtId="0">
      <sharedItems count="3">
        <s v="Page 3"/>
        <s v="Page 1"/>
        <s v="Page 2"/>
      </sharedItems>
    </cacheField>
    <cacheField name="Conversion % (Page)" numFmtId="0">
      <sharedItems containsSemiMixedTypes="0" containsString="0" containsNumber="1" minValue="5" maxValue="23"/>
    </cacheField>
    <cacheField name="Year" numFmtId="0">
      <sharedItems containsSemiMixedTypes="0" containsString="0" containsNumber="1" containsInteger="1" minValue="2022" maxValue="2022" count="1">
        <n v="2022"/>
      </sharedItems>
    </cacheField>
    <cacheField name="Month" numFmtId="0">
      <sharedItems count="7">
        <s v="Jan"/>
        <s v="Feb"/>
        <s v="Mar"/>
        <s v="Apr"/>
        <s v="May"/>
        <s v="Jun"/>
        <s v="Jul"/>
      </sharedItems>
    </cacheField>
  </cacheFields>
  <extLst>
    <ext xmlns:x14="http://schemas.microsoft.com/office/spreadsheetml/2009/9/main" uri="{725AE2AE-9491-48be-B2B4-4EB974FC3084}">
      <x14:pivotCacheDefinition pivotCacheId="1287464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x v="0"/>
    <n v="91"/>
    <x v="0"/>
    <x v="0"/>
    <d v="2022-01-09T00:00:00"/>
    <n v="53"/>
    <n v="54.88"/>
    <n v="77"/>
    <n v="4.3"/>
    <n v="61.5"/>
    <x v="0"/>
    <n v="17.100000000000001"/>
    <x v="0"/>
    <n v="6.2"/>
    <x v="0"/>
    <n v="17.399999999999999"/>
    <x v="0"/>
    <n v="22.2"/>
    <x v="0"/>
    <x v="0"/>
  </r>
  <r>
    <x v="0"/>
    <n v="91"/>
    <x v="1"/>
    <x v="1"/>
    <d v="2022-01-10T00:00:00"/>
    <n v="30"/>
    <n v="56.3"/>
    <n v="73"/>
    <n v="3.7"/>
    <n v="59.2"/>
    <x v="1"/>
    <n v="16"/>
    <x v="0"/>
    <n v="6"/>
    <x v="0"/>
    <n v="16.8"/>
    <x v="0"/>
    <n v="21.5"/>
    <x v="0"/>
    <x v="0"/>
  </r>
  <r>
    <x v="1"/>
    <n v="44"/>
    <x v="0"/>
    <x v="2"/>
    <d v="2022-01-11T00:00:00"/>
    <n v="50"/>
    <n v="91.47"/>
    <n v="49"/>
    <n v="2.9"/>
    <n v="47.8"/>
    <x v="2"/>
    <n v="18"/>
    <x v="1"/>
    <n v="27.5"/>
    <x v="0"/>
    <n v="8.1"/>
    <x v="1"/>
    <n v="6.9"/>
    <x v="0"/>
    <x v="0"/>
  </r>
  <r>
    <x v="1"/>
    <n v="44"/>
    <x v="1"/>
    <x v="3"/>
    <d v="2022-01-12T00:00:00"/>
    <n v="42"/>
    <n v="85.3"/>
    <n v="35"/>
    <n v="2.7"/>
    <n v="45"/>
    <x v="3"/>
    <n v="17.5"/>
    <x v="1"/>
    <n v="26"/>
    <x v="0"/>
    <n v="7.5"/>
    <x v="1"/>
    <n v="6.3"/>
    <x v="0"/>
    <x v="0"/>
  </r>
  <r>
    <x v="2"/>
    <n v="26"/>
    <x v="0"/>
    <x v="4"/>
    <d v="2022-01-13T00:00:00"/>
    <n v="9"/>
    <n v="6.04"/>
    <n v="78"/>
    <n v="3.2"/>
    <n v="48.7"/>
    <x v="4"/>
    <n v="5.8"/>
    <x v="2"/>
    <n v="23.6"/>
    <x v="0"/>
    <n v="18.399999999999999"/>
    <x v="0"/>
    <n v="11.6"/>
    <x v="0"/>
    <x v="0"/>
  </r>
  <r>
    <x v="2"/>
    <n v="26"/>
    <x v="1"/>
    <x v="5"/>
    <d v="2022-01-14T00:00:00"/>
    <n v="14"/>
    <n v="7.5"/>
    <n v="75"/>
    <n v="3.1"/>
    <n v="46.2"/>
    <x v="5"/>
    <n v="5.5"/>
    <x v="2"/>
    <n v="22"/>
    <x v="0"/>
    <n v="16.7"/>
    <x v="0"/>
    <n v="10.8"/>
    <x v="0"/>
    <x v="0"/>
  </r>
  <r>
    <x v="3"/>
    <n v="68"/>
    <x v="0"/>
    <x v="6"/>
    <d v="2022-01-15T00:00:00"/>
    <n v="15"/>
    <n v="90"/>
    <n v="54"/>
    <n v="3.4"/>
    <n v="67.8"/>
    <x v="6"/>
    <n v="11"/>
    <x v="0"/>
    <n v="5.3"/>
    <x v="1"/>
    <n v="20.5"/>
    <x v="1"/>
    <n v="19.5"/>
    <x v="0"/>
    <x v="0"/>
  </r>
  <r>
    <x v="3"/>
    <n v="68"/>
    <x v="1"/>
    <x v="7"/>
    <d v="2022-01-16T00:00:00"/>
    <n v="10"/>
    <n v="88"/>
    <n v="50"/>
    <n v="3"/>
    <n v="4"/>
    <x v="3"/>
    <n v="10.199999999999999"/>
    <x v="0"/>
    <n v="4.8"/>
    <x v="1"/>
    <n v="19.7"/>
    <x v="1"/>
    <n v="18"/>
    <x v="0"/>
    <x v="0"/>
  </r>
  <r>
    <x v="4"/>
    <n v="14"/>
    <x v="0"/>
    <x v="8"/>
    <d v="2022-01-17T00:00:00"/>
    <n v="17"/>
    <n v="70.63"/>
    <n v="41"/>
    <n v="3.9"/>
    <n v="59.4"/>
    <x v="7"/>
    <n v="15.6"/>
    <x v="2"/>
    <n v="23.7"/>
    <x v="2"/>
    <n v="15.6"/>
    <x v="1"/>
    <n v="15.1"/>
    <x v="0"/>
    <x v="0"/>
  </r>
  <r>
    <x v="4"/>
    <n v="14"/>
    <x v="1"/>
    <x v="9"/>
    <d v="2022-01-18T00:00:00"/>
    <n v="8"/>
    <n v="65"/>
    <n v="25"/>
    <n v="3.6"/>
    <n v="55"/>
    <x v="8"/>
    <n v="14"/>
    <x v="2"/>
    <n v="21.5"/>
    <x v="2"/>
    <n v="13.9"/>
    <x v="1"/>
    <n v="14.2"/>
    <x v="0"/>
    <x v="0"/>
  </r>
  <r>
    <x v="5"/>
    <n v="33"/>
    <x v="0"/>
    <x v="10"/>
    <d v="2022-01-19T00:00:00"/>
    <n v="18"/>
    <n v="65.34"/>
    <n v="15"/>
    <n v="4.0999999999999996"/>
    <n v="52.3"/>
    <x v="9"/>
    <n v="16.2"/>
    <x v="1"/>
    <n v="18.899999999999999"/>
    <x v="3"/>
    <n v="13.8"/>
    <x v="2"/>
    <n v="10.7"/>
    <x v="0"/>
    <x v="0"/>
  </r>
  <r>
    <x v="5"/>
    <n v="33"/>
    <x v="1"/>
    <x v="11"/>
    <d v="2022-01-20T00:00:00"/>
    <n v="13"/>
    <n v="60.2"/>
    <n v="16"/>
    <n v="3.8"/>
    <n v="50.5"/>
    <x v="10"/>
    <n v="15"/>
    <x v="1"/>
    <n v="17.8"/>
    <x v="3"/>
    <n v="12"/>
    <x v="2"/>
    <n v="9.5"/>
    <x v="0"/>
    <x v="0"/>
  </r>
  <r>
    <x v="0"/>
    <n v="91"/>
    <x v="0"/>
    <x v="2"/>
    <d v="2022-01-21T00:00:00"/>
    <n v="50"/>
    <n v="54.88"/>
    <n v="77"/>
    <n v="4.2"/>
    <n v="61.5"/>
    <x v="11"/>
    <n v="17.100000000000001"/>
    <x v="0"/>
    <n v="6.2"/>
    <x v="0"/>
    <n v="17.399999999999999"/>
    <x v="0"/>
    <n v="22.2"/>
    <x v="0"/>
    <x v="0"/>
  </r>
  <r>
    <x v="0"/>
    <n v="91"/>
    <x v="1"/>
    <x v="7"/>
    <d v="2022-01-22T00:00:00"/>
    <n v="33"/>
    <n v="56.3"/>
    <n v="73"/>
    <n v="3.7"/>
    <n v="59.2"/>
    <x v="12"/>
    <n v="16"/>
    <x v="0"/>
    <n v="6"/>
    <x v="0"/>
    <n v="16.8"/>
    <x v="0"/>
    <n v="21.5"/>
    <x v="0"/>
    <x v="0"/>
  </r>
  <r>
    <x v="1"/>
    <n v="44"/>
    <x v="0"/>
    <x v="12"/>
    <d v="2022-01-23T00:00:00"/>
    <n v="46"/>
    <n v="91.47"/>
    <n v="49"/>
    <n v="2.9"/>
    <n v="47.8"/>
    <x v="13"/>
    <n v="18"/>
    <x v="1"/>
    <n v="27.5"/>
    <x v="0"/>
    <n v="8.1"/>
    <x v="1"/>
    <n v="6.9"/>
    <x v="0"/>
    <x v="0"/>
  </r>
  <r>
    <x v="1"/>
    <n v="44"/>
    <x v="1"/>
    <x v="13"/>
    <d v="2022-01-24T00:00:00"/>
    <n v="35"/>
    <n v="85.3"/>
    <n v="35"/>
    <n v="2.5"/>
    <n v="45"/>
    <x v="14"/>
    <n v="17.5"/>
    <x v="1"/>
    <n v="26"/>
    <x v="0"/>
    <n v="7.5"/>
    <x v="1"/>
    <n v="6.3"/>
    <x v="0"/>
    <x v="0"/>
  </r>
  <r>
    <x v="2"/>
    <n v="26"/>
    <x v="0"/>
    <x v="5"/>
    <d v="2022-01-25T00:00:00"/>
    <n v="9"/>
    <n v="6.04"/>
    <n v="78"/>
    <n v="3.4"/>
    <n v="48.7"/>
    <x v="15"/>
    <n v="5.8"/>
    <x v="2"/>
    <n v="23.6"/>
    <x v="0"/>
    <n v="18.399999999999999"/>
    <x v="0"/>
    <n v="11.6"/>
    <x v="0"/>
    <x v="0"/>
  </r>
  <r>
    <x v="2"/>
    <n v="26"/>
    <x v="1"/>
    <x v="14"/>
    <d v="2022-01-26T00:00:00"/>
    <n v="12"/>
    <n v="7.5"/>
    <n v="75"/>
    <n v="3"/>
    <n v="46.2"/>
    <x v="5"/>
    <n v="5.5"/>
    <x v="2"/>
    <n v="22"/>
    <x v="0"/>
    <n v="16.7"/>
    <x v="0"/>
    <n v="10.8"/>
    <x v="0"/>
    <x v="0"/>
  </r>
  <r>
    <x v="3"/>
    <n v="68"/>
    <x v="0"/>
    <x v="15"/>
    <d v="2022-01-27T00:00:00"/>
    <n v="13"/>
    <n v="90"/>
    <n v="54"/>
    <n v="3.5"/>
    <n v="67.8"/>
    <x v="2"/>
    <n v="11"/>
    <x v="0"/>
    <n v="5.3"/>
    <x v="1"/>
    <n v="20.5"/>
    <x v="1"/>
    <n v="19.5"/>
    <x v="0"/>
    <x v="0"/>
  </r>
  <r>
    <x v="3"/>
    <n v="68"/>
    <x v="1"/>
    <x v="10"/>
    <d v="2022-01-28T00:00:00"/>
    <n v="11"/>
    <n v="88"/>
    <n v="50"/>
    <n v="3.2"/>
    <n v="64"/>
    <x v="3"/>
    <n v="10.199999999999999"/>
    <x v="0"/>
    <n v="4.8"/>
    <x v="1"/>
    <n v="19.7"/>
    <x v="1"/>
    <n v="18"/>
    <x v="0"/>
    <x v="0"/>
  </r>
  <r>
    <x v="4"/>
    <n v="14"/>
    <x v="0"/>
    <x v="16"/>
    <d v="2022-01-29T00:00:00"/>
    <n v="15"/>
    <n v="70.63"/>
    <n v="41"/>
    <n v="3.9"/>
    <n v="59.4"/>
    <x v="16"/>
    <n v="15.6"/>
    <x v="2"/>
    <n v="23.7"/>
    <x v="2"/>
    <n v="15.6"/>
    <x v="1"/>
    <n v="15.1"/>
    <x v="0"/>
    <x v="0"/>
  </r>
  <r>
    <x v="4"/>
    <n v="14"/>
    <x v="1"/>
    <x v="3"/>
    <d v="2022-01-30T00:00:00"/>
    <n v="9"/>
    <n v="65"/>
    <n v="25"/>
    <n v="3.5"/>
    <n v="55"/>
    <x v="17"/>
    <n v="14"/>
    <x v="2"/>
    <n v="21.5"/>
    <x v="2"/>
    <n v="13.9"/>
    <x v="1"/>
    <n v="14.2"/>
    <x v="0"/>
    <x v="0"/>
  </r>
  <r>
    <x v="5"/>
    <n v="33"/>
    <x v="0"/>
    <x v="17"/>
    <d v="2022-01-31T00:00:00"/>
    <n v="17"/>
    <n v="65.34"/>
    <n v="26"/>
    <n v="4.0999999999999996"/>
    <n v="52.3"/>
    <x v="18"/>
    <n v="16.2"/>
    <x v="1"/>
    <n v="18.899999999999999"/>
    <x v="3"/>
    <n v="13.8"/>
    <x v="2"/>
    <n v="10.7"/>
    <x v="0"/>
    <x v="0"/>
  </r>
  <r>
    <x v="5"/>
    <n v="33"/>
    <x v="1"/>
    <x v="18"/>
    <d v="2022-02-01T00:00:00"/>
    <n v="13"/>
    <n v="60.2"/>
    <n v="27"/>
    <n v="3.6"/>
    <n v="50.5"/>
    <x v="19"/>
    <n v="15"/>
    <x v="1"/>
    <n v="17.8"/>
    <x v="3"/>
    <n v="12"/>
    <x v="2"/>
    <n v="9.5"/>
    <x v="0"/>
    <x v="1"/>
  </r>
  <r>
    <x v="0"/>
    <n v="91"/>
    <x v="0"/>
    <x v="19"/>
    <d v="2022-02-02T00:00:00"/>
    <n v="47"/>
    <n v="54.88"/>
    <n v="77"/>
    <n v="4.4000000000000004"/>
    <n v="61.5"/>
    <x v="20"/>
    <n v="17.100000000000001"/>
    <x v="0"/>
    <n v="6.2"/>
    <x v="0"/>
    <n v="17.399999999999999"/>
    <x v="0"/>
    <n v="22.2"/>
    <x v="0"/>
    <x v="1"/>
  </r>
  <r>
    <x v="0"/>
    <n v="91"/>
    <x v="1"/>
    <x v="20"/>
    <d v="2022-02-03T00:00:00"/>
    <n v="35"/>
    <n v="56.3"/>
    <n v="73"/>
    <n v="3.9"/>
    <n v="59.2"/>
    <x v="1"/>
    <n v="16"/>
    <x v="0"/>
    <n v="6"/>
    <x v="0"/>
    <n v="16.8"/>
    <x v="0"/>
    <n v="21.5"/>
    <x v="0"/>
    <x v="1"/>
  </r>
  <r>
    <x v="1"/>
    <n v="44"/>
    <x v="0"/>
    <x v="21"/>
    <d v="2022-02-04T00:00:00"/>
    <n v="44"/>
    <n v="91.47"/>
    <n v="49"/>
    <n v="2.7"/>
    <n v="47.8"/>
    <x v="21"/>
    <n v="18"/>
    <x v="1"/>
    <n v="27.5"/>
    <x v="0"/>
    <n v="8.1"/>
    <x v="1"/>
    <n v="6.9"/>
    <x v="0"/>
    <x v="1"/>
  </r>
  <r>
    <x v="1"/>
    <n v="44"/>
    <x v="1"/>
    <x v="22"/>
    <d v="2022-02-05T00:00:00"/>
    <n v="32"/>
    <n v="85.3"/>
    <n v="35"/>
    <n v="2.5"/>
    <n v="45"/>
    <x v="5"/>
    <n v="17.5"/>
    <x v="1"/>
    <n v="26"/>
    <x v="0"/>
    <n v="7.5"/>
    <x v="1"/>
    <n v="6.3"/>
    <x v="0"/>
    <x v="1"/>
  </r>
  <r>
    <x v="2"/>
    <n v="26"/>
    <x v="0"/>
    <x v="18"/>
    <d v="2022-02-06T00:00:00"/>
    <n v="8"/>
    <n v="6.04"/>
    <n v="78"/>
    <n v="3.2"/>
    <n v="48.7"/>
    <x v="6"/>
    <n v="5.8"/>
    <x v="2"/>
    <n v="23.6"/>
    <x v="0"/>
    <n v="18.399999999999999"/>
    <x v="0"/>
    <n v="11.6"/>
    <x v="0"/>
    <x v="1"/>
  </r>
  <r>
    <x v="2"/>
    <n v="26"/>
    <x v="1"/>
    <x v="10"/>
    <d v="2022-02-07T00:00:00"/>
    <n v="10"/>
    <n v="7.5"/>
    <n v="75"/>
    <n v="3"/>
    <n v="46.2"/>
    <x v="14"/>
    <n v="5.5"/>
    <x v="2"/>
    <n v="22"/>
    <x v="0"/>
    <n v="16.7"/>
    <x v="0"/>
    <n v="10.8"/>
    <x v="0"/>
    <x v="1"/>
  </r>
  <r>
    <x v="3"/>
    <n v="68"/>
    <x v="0"/>
    <x v="23"/>
    <d v="2022-02-08T00:00:00"/>
    <n v="11"/>
    <n v="90"/>
    <n v="54"/>
    <n v="3.3"/>
    <n v="7.8"/>
    <x v="2"/>
    <n v="11"/>
    <x v="0"/>
    <n v="5.3"/>
    <x v="1"/>
    <n v="20.5"/>
    <x v="1"/>
    <n v="19.5"/>
    <x v="0"/>
    <x v="1"/>
  </r>
  <r>
    <x v="3"/>
    <n v="68"/>
    <x v="1"/>
    <x v="22"/>
    <d v="2022-02-09T00:00:00"/>
    <n v="9"/>
    <n v="88"/>
    <n v="50"/>
    <n v="3.1"/>
    <n v="64"/>
    <x v="5"/>
    <n v="10.199999999999999"/>
    <x v="0"/>
    <n v="4.8"/>
    <x v="1"/>
    <n v="19.7"/>
    <x v="1"/>
    <n v="18"/>
    <x v="0"/>
    <x v="1"/>
  </r>
  <r>
    <x v="4"/>
    <n v="14"/>
    <x v="0"/>
    <x v="24"/>
    <d v="2022-02-10T00:00:00"/>
    <n v="14"/>
    <n v="70.63"/>
    <n v="41"/>
    <n v="3.9"/>
    <n v="59.4"/>
    <x v="22"/>
    <n v="15.6"/>
    <x v="2"/>
    <n v="23.7"/>
    <x v="2"/>
    <n v="15.6"/>
    <x v="1"/>
    <n v="15.1"/>
    <x v="0"/>
    <x v="1"/>
  </r>
  <r>
    <x v="4"/>
    <n v="14"/>
    <x v="1"/>
    <x v="25"/>
    <d v="2022-02-11T00:00:00"/>
    <n v="10"/>
    <n v="65"/>
    <n v="25"/>
    <n v="3.5"/>
    <n v="55"/>
    <x v="8"/>
    <n v="14"/>
    <x v="2"/>
    <n v="21.5"/>
    <x v="2"/>
    <n v="13.9"/>
    <x v="1"/>
    <n v="14.2"/>
    <x v="0"/>
    <x v="1"/>
  </r>
  <r>
    <x v="5"/>
    <n v="33"/>
    <x v="0"/>
    <x v="26"/>
    <d v="2022-02-12T00:00:00"/>
    <n v="19"/>
    <n v="65.34"/>
    <n v="26"/>
    <n v="4.0999999999999996"/>
    <n v="52.3"/>
    <x v="18"/>
    <n v="16.2"/>
    <x v="1"/>
    <n v="18.899999999999999"/>
    <x v="3"/>
    <n v="13.8"/>
    <x v="2"/>
    <n v="10.7"/>
    <x v="0"/>
    <x v="1"/>
  </r>
  <r>
    <x v="5"/>
    <n v="33"/>
    <x v="1"/>
    <x v="27"/>
    <d v="2022-02-13T00:00:00"/>
    <n v="15"/>
    <n v="60.2"/>
    <n v="27"/>
    <n v="3.8"/>
    <n v="50.5"/>
    <x v="10"/>
    <n v="15"/>
    <x v="1"/>
    <n v="17.8"/>
    <x v="3"/>
    <n v="12"/>
    <x v="2"/>
    <n v="9.5"/>
    <x v="0"/>
    <x v="1"/>
  </r>
  <r>
    <x v="0"/>
    <n v="91"/>
    <x v="0"/>
    <x v="28"/>
    <d v="2022-02-14T00:00:00"/>
    <n v="47"/>
    <n v="54.88"/>
    <n v="77"/>
    <n v="4.4000000000000004"/>
    <n v="61.5"/>
    <x v="20"/>
    <n v="17.100000000000001"/>
    <x v="0"/>
    <n v="6.2"/>
    <x v="0"/>
    <n v="17.399999999999999"/>
    <x v="0"/>
    <n v="22.2"/>
    <x v="0"/>
    <x v="1"/>
  </r>
  <r>
    <x v="0"/>
    <n v="91"/>
    <x v="1"/>
    <x v="10"/>
    <d v="2022-02-15T00:00:00"/>
    <n v="35"/>
    <n v="56.3"/>
    <n v="73"/>
    <n v="3.9"/>
    <n v="59.2"/>
    <x v="1"/>
    <n v="16"/>
    <x v="0"/>
    <n v="6"/>
    <x v="0"/>
    <n v="16.8"/>
    <x v="0"/>
    <n v="21.5"/>
    <x v="0"/>
    <x v="1"/>
  </r>
  <r>
    <x v="1"/>
    <n v="44"/>
    <x v="0"/>
    <x v="29"/>
    <d v="2022-02-16T00:00:00"/>
    <n v="44"/>
    <n v="91.47"/>
    <n v="49"/>
    <n v="2.7"/>
    <n v="47.8"/>
    <x v="21"/>
    <n v="18"/>
    <x v="1"/>
    <n v="27.5"/>
    <x v="0"/>
    <n v="8.1"/>
    <x v="1"/>
    <n v="6.9"/>
    <x v="0"/>
    <x v="1"/>
  </r>
  <r>
    <x v="1"/>
    <n v="44"/>
    <x v="1"/>
    <x v="30"/>
    <d v="2022-02-17T00:00:00"/>
    <n v="32"/>
    <n v="85.3"/>
    <n v="35"/>
    <n v="2.5"/>
    <n v="45"/>
    <x v="5"/>
    <n v="17.5"/>
    <x v="1"/>
    <n v="26"/>
    <x v="0"/>
    <n v="7.5"/>
    <x v="1"/>
    <n v="6.3"/>
    <x v="0"/>
    <x v="1"/>
  </r>
  <r>
    <x v="2"/>
    <n v="26"/>
    <x v="0"/>
    <x v="12"/>
    <d v="2022-02-18T00:00:00"/>
    <n v="8"/>
    <n v="6.04"/>
    <n v="78"/>
    <n v="3.2"/>
    <n v="48.7"/>
    <x v="6"/>
    <n v="5.8"/>
    <x v="2"/>
    <n v="23.6"/>
    <x v="0"/>
    <n v="18.399999999999999"/>
    <x v="0"/>
    <n v="11.6"/>
    <x v="0"/>
    <x v="1"/>
  </r>
  <r>
    <x v="2"/>
    <n v="26"/>
    <x v="1"/>
    <x v="10"/>
    <d v="2022-02-19T00:00:00"/>
    <n v="10"/>
    <n v="7.5"/>
    <n v="75"/>
    <n v="3"/>
    <n v="46.2"/>
    <x v="14"/>
    <n v="5.5"/>
    <x v="2"/>
    <n v="22"/>
    <x v="0"/>
    <n v="16.7"/>
    <x v="0"/>
    <n v="10.8"/>
    <x v="0"/>
    <x v="1"/>
  </r>
  <r>
    <x v="3"/>
    <n v="68"/>
    <x v="0"/>
    <x v="31"/>
    <d v="2022-02-20T00:00:00"/>
    <n v="11"/>
    <n v="90"/>
    <n v="54"/>
    <n v="3.3"/>
    <n v="7.8"/>
    <x v="2"/>
    <n v="11"/>
    <x v="0"/>
    <n v="5.3"/>
    <x v="1"/>
    <n v="20.5"/>
    <x v="1"/>
    <n v="19.5"/>
    <x v="0"/>
    <x v="1"/>
  </r>
  <r>
    <x v="3"/>
    <n v="68"/>
    <x v="1"/>
    <x v="5"/>
    <d v="2022-02-21T00:00:00"/>
    <n v="9"/>
    <n v="88"/>
    <n v="50"/>
    <n v="3.1"/>
    <n v="4"/>
    <x v="5"/>
    <n v="10.199999999999999"/>
    <x v="0"/>
    <n v="4.8"/>
    <x v="1"/>
    <n v="19.7"/>
    <x v="1"/>
    <n v="18"/>
    <x v="0"/>
    <x v="1"/>
  </r>
  <r>
    <x v="4"/>
    <n v="14"/>
    <x v="0"/>
    <x v="32"/>
    <d v="2022-02-22T00:00:00"/>
    <n v="14"/>
    <n v="70.63"/>
    <n v="41"/>
    <n v="3.9"/>
    <n v="59.4"/>
    <x v="22"/>
    <n v="15.6"/>
    <x v="2"/>
    <n v="23.7"/>
    <x v="2"/>
    <n v="15.6"/>
    <x v="1"/>
    <n v="15.1"/>
    <x v="0"/>
    <x v="1"/>
  </r>
  <r>
    <x v="4"/>
    <n v="14"/>
    <x v="1"/>
    <x v="33"/>
    <d v="2022-02-23T00:00:00"/>
    <n v="10"/>
    <n v="65"/>
    <n v="25"/>
    <n v="3.5"/>
    <n v="55"/>
    <x v="8"/>
    <n v="14"/>
    <x v="2"/>
    <n v="21.5"/>
    <x v="2"/>
    <n v="13.9"/>
    <x v="1"/>
    <n v="14.2"/>
    <x v="0"/>
    <x v="1"/>
  </r>
  <r>
    <x v="5"/>
    <n v="33"/>
    <x v="0"/>
    <x v="13"/>
    <d v="2022-02-24T00:00:00"/>
    <n v="19"/>
    <n v="65.34"/>
    <n v="26"/>
    <n v="4.0999999999999996"/>
    <n v="20"/>
    <x v="18"/>
    <n v="16.2"/>
    <x v="1"/>
    <n v="18.899999999999999"/>
    <x v="3"/>
    <n v="13.8"/>
    <x v="2"/>
    <n v="10.7"/>
    <x v="0"/>
    <x v="1"/>
  </r>
  <r>
    <x v="5"/>
    <n v="33"/>
    <x v="1"/>
    <x v="19"/>
    <d v="2022-02-25T00:00:00"/>
    <n v="15"/>
    <n v="60.2"/>
    <n v="27"/>
    <n v="3.8"/>
    <n v="50.5"/>
    <x v="10"/>
    <n v="15"/>
    <x v="1"/>
    <n v="17.8"/>
    <x v="3"/>
    <n v="12"/>
    <x v="2"/>
    <n v="9.5"/>
    <x v="0"/>
    <x v="1"/>
  </r>
  <r>
    <x v="0"/>
    <n v="91"/>
    <x v="0"/>
    <x v="28"/>
    <d v="2022-02-26T00:00:00"/>
    <n v="47"/>
    <n v="54.88"/>
    <n v="77"/>
    <n v="4.4000000000000004"/>
    <n v="1.5"/>
    <x v="20"/>
    <n v="17.100000000000001"/>
    <x v="0"/>
    <n v="6.2"/>
    <x v="0"/>
    <n v="17.399999999999999"/>
    <x v="0"/>
    <n v="22.2"/>
    <x v="0"/>
    <x v="1"/>
  </r>
  <r>
    <x v="0"/>
    <n v="91"/>
    <x v="1"/>
    <x v="10"/>
    <d v="2022-02-27T00:00:00"/>
    <n v="35"/>
    <n v="56.3"/>
    <n v="73"/>
    <n v="3.9"/>
    <n v="59.2"/>
    <x v="1"/>
    <n v="16"/>
    <x v="0"/>
    <n v="6"/>
    <x v="0"/>
    <n v="16.8"/>
    <x v="0"/>
    <n v="21.5"/>
    <x v="0"/>
    <x v="1"/>
  </r>
  <r>
    <x v="1"/>
    <n v="44"/>
    <x v="0"/>
    <x v="29"/>
    <d v="2022-02-28T00:00:00"/>
    <n v="44"/>
    <n v="91.47"/>
    <n v="49"/>
    <n v="2.7"/>
    <n v="47.8"/>
    <x v="21"/>
    <n v="18"/>
    <x v="1"/>
    <n v="27.5"/>
    <x v="0"/>
    <n v="8.1"/>
    <x v="1"/>
    <n v="6.9"/>
    <x v="0"/>
    <x v="1"/>
  </r>
  <r>
    <x v="1"/>
    <n v="44"/>
    <x v="1"/>
    <x v="30"/>
    <d v="2022-03-01T00:00:00"/>
    <n v="32"/>
    <n v="85.3"/>
    <n v="35"/>
    <n v="2.5"/>
    <n v="45"/>
    <x v="5"/>
    <n v="17.5"/>
    <x v="1"/>
    <n v="26"/>
    <x v="0"/>
    <n v="7.5"/>
    <x v="1"/>
    <n v="6.3"/>
    <x v="0"/>
    <x v="2"/>
  </r>
  <r>
    <x v="2"/>
    <n v="26"/>
    <x v="0"/>
    <x v="12"/>
    <d v="2022-03-02T00:00:00"/>
    <n v="8"/>
    <n v="6.04"/>
    <n v="78"/>
    <n v="3.2"/>
    <n v="48.7"/>
    <x v="6"/>
    <n v="5.8"/>
    <x v="2"/>
    <n v="23.6"/>
    <x v="0"/>
    <n v="18.399999999999999"/>
    <x v="0"/>
    <n v="11.6"/>
    <x v="0"/>
    <x v="2"/>
  </r>
  <r>
    <x v="2"/>
    <n v="26"/>
    <x v="1"/>
    <x v="10"/>
    <d v="2022-03-03T00:00:00"/>
    <n v="10"/>
    <n v="7.5"/>
    <n v="75"/>
    <n v="3"/>
    <n v="46.2"/>
    <x v="14"/>
    <n v="5.5"/>
    <x v="2"/>
    <n v="22"/>
    <x v="0"/>
    <n v="16.7"/>
    <x v="0"/>
    <n v="10.8"/>
    <x v="0"/>
    <x v="2"/>
  </r>
  <r>
    <x v="3"/>
    <n v="68"/>
    <x v="0"/>
    <x v="34"/>
    <d v="2022-03-04T00:00:00"/>
    <n v="11"/>
    <n v="90"/>
    <n v="54"/>
    <n v="3.3"/>
    <n v="67.8"/>
    <x v="2"/>
    <n v="11"/>
    <x v="0"/>
    <n v="5.3"/>
    <x v="1"/>
    <n v="20.5"/>
    <x v="1"/>
    <n v="19.5"/>
    <x v="0"/>
    <x v="2"/>
  </r>
  <r>
    <x v="3"/>
    <n v="68"/>
    <x v="1"/>
    <x v="5"/>
    <d v="2022-03-05T00:00:00"/>
    <n v="9"/>
    <n v="88"/>
    <n v="50"/>
    <n v="3.1"/>
    <n v="64"/>
    <x v="5"/>
    <n v="10.199999999999999"/>
    <x v="0"/>
    <n v="4.8"/>
    <x v="1"/>
    <n v="19.7"/>
    <x v="1"/>
    <n v="18"/>
    <x v="0"/>
    <x v="2"/>
  </r>
  <r>
    <x v="4"/>
    <n v="14"/>
    <x v="0"/>
    <x v="35"/>
    <d v="2022-03-06T00:00:00"/>
    <n v="14"/>
    <n v="70.63"/>
    <n v="41"/>
    <n v="3.9"/>
    <n v="59.4"/>
    <x v="22"/>
    <n v="15.6"/>
    <x v="2"/>
    <n v="23.7"/>
    <x v="2"/>
    <n v="15.6"/>
    <x v="1"/>
    <n v="15.1"/>
    <x v="0"/>
    <x v="2"/>
  </r>
  <r>
    <x v="4"/>
    <n v="14"/>
    <x v="1"/>
    <x v="25"/>
    <d v="2022-03-07T00:00:00"/>
    <n v="10"/>
    <n v="65"/>
    <n v="25"/>
    <n v="3.5"/>
    <n v="55"/>
    <x v="8"/>
    <n v="14"/>
    <x v="2"/>
    <n v="21.5"/>
    <x v="2"/>
    <n v="13.9"/>
    <x v="1"/>
    <n v="14.2"/>
    <x v="0"/>
    <x v="2"/>
  </r>
  <r>
    <x v="5"/>
    <n v="33"/>
    <x v="0"/>
    <x v="13"/>
    <d v="2022-03-08T00:00:00"/>
    <n v="19"/>
    <n v="65.34"/>
    <n v="26"/>
    <n v="4.0999999999999996"/>
    <n v="52.3"/>
    <x v="18"/>
    <n v="16.2"/>
    <x v="1"/>
    <n v="18.899999999999999"/>
    <x v="3"/>
    <n v="13.8"/>
    <x v="2"/>
    <n v="10.7"/>
    <x v="0"/>
    <x v="2"/>
  </r>
  <r>
    <x v="5"/>
    <n v="33"/>
    <x v="1"/>
    <x v="1"/>
    <d v="2022-03-09T00:00:00"/>
    <n v="15"/>
    <n v="60.2"/>
    <n v="27"/>
    <n v="3.8"/>
    <n v="50.5"/>
    <x v="10"/>
    <n v="15"/>
    <x v="1"/>
    <n v="17.8"/>
    <x v="3"/>
    <n v="12"/>
    <x v="2"/>
    <n v="9.5"/>
    <x v="0"/>
    <x v="2"/>
  </r>
  <r>
    <x v="0"/>
    <n v="91"/>
    <x v="0"/>
    <x v="36"/>
    <d v="2022-03-10T00:00:00"/>
    <n v="55"/>
    <n v="54.88"/>
    <n v="77"/>
    <n v="4.3"/>
    <n v="1.5"/>
    <x v="23"/>
    <n v="17.100000000000001"/>
    <x v="0"/>
    <n v="6.2"/>
    <x v="0"/>
    <n v="17.399999999999999"/>
    <x v="0"/>
    <n v="22.2"/>
    <x v="0"/>
    <x v="2"/>
  </r>
  <r>
    <x v="0"/>
    <n v="91"/>
    <x v="1"/>
    <x v="37"/>
    <d v="2022-03-11T00:00:00"/>
    <n v="28"/>
    <n v="56.3"/>
    <n v="73"/>
    <n v="3.5"/>
    <n v="5"/>
    <x v="24"/>
    <n v="16"/>
    <x v="0"/>
    <n v="6"/>
    <x v="0"/>
    <n v="16.8"/>
    <x v="0"/>
    <n v="21.5"/>
    <x v="0"/>
    <x v="2"/>
  </r>
  <r>
    <x v="1"/>
    <n v="44"/>
    <x v="0"/>
    <x v="28"/>
    <d v="2022-03-12T00:00:00"/>
    <n v="48"/>
    <n v="91.47"/>
    <n v="49"/>
    <n v="3"/>
    <n v="47.8"/>
    <x v="2"/>
    <n v="18"/>
    <x v="1"/>
    <n v="27.5"/>
    <x v="0"/>
    <n v="8.1"/>
    <x v="1"/>
    <n v="6.9"/>
    <x v="0"/>
    <x v="2"/>
  </r>
  <r>
    <x v="1"/>
    <n v="44"/>
    <x v="1"/>
    <x v="38"/>
    <d v="2022-03-13T00:00:00"/>
    <n v="39"/>
    <n v="85.3"/>
    <n v="35"/>
    <n v="2.8"/>
    <n v="45"/>
    <x v="3"/>
    <n v="17.5"/>
    <x v="1"/>
    <n v="26"/>
    <x v="0"/>
    <n v="7.5"/>
    <x v="1"/>
    <n v="6.3"/>
    <x v="0"/>
    <x v="2"/>
  </r>
  <r>
    <x v="2"/>
    <n v="26"/>
    <x v="0"/>
    <x v="39"/>
    <d v="2022-03-14T00:00:00"/>
    <n v="10"/>
    <n v="6.04"/>
    <n v="78"/>
    <n v="3.1"/>
    <n v="48.7"/>
    <x v="4"/>
    <n v="5.8"/>
    <x v="2"/>
    <n v="23.6"/>
    <x v="0"/>
    <n v="18.399999999999999"/>
    <x v="0"/>
    <n v="11.6"/>
    <x v="0"/>
    <x v="2"/>
  </r>
  <r>
    <x v="2"/>
    <n v="26"/>
    <x v="1"/>
    <x v="3"/>
    <d v="2022-03-15T00:00:00"/>
    <n v="15"/>
    <n v="7.5"/>
    <n v="75"/>
    <n v="3.2"/>
    <n v="46.2"/>
    <x v="25"/>
    <n v="5.5"/>
    <x v="2"/>
    <n v="22"/>
    <x v="0"/>
    <n v="16.7"/>
    <x v="0"/>
    <n v="10.8"/>
    <x v="0"/>
    <x v="2"/>
  </r>
  <r>
    <x v="3"/>
    <n v="68"/>
    <x v="0"/>
    <x v="40"/>
    <d v="2022-03-16T00:00:00"/>
    <n v="16"/>
    <n v="90"/>
    <n v="54"/>
    <n v="3.5"/>
    <n v="67.8"/>
    <x v="6"/>
    <n v="11"/>
    <x v="0"/>
    <n v="5.3"/>
    <x v="1"/>
    <n v="20.5"/>
    <x v="1"/>
    <n v="19.5"/>
    <x v="0"/>
    <x v="2"/>
  </r>
  <r>
    <x v="3"/>
    <n v="68"/>
    <x v="1"/>
    <x v="41"/>
    <d v="2022-03-17T00:00:00"/>
    <n v="12"/>
    <n v="88"/>
    <n v="50"/>
    <n v="3.2"/>
    <n v="64"/>
    <x v="5"/>
    <n v="10.199999999999999"/>
    <x v="0"/>
    <n v="4.8"/>
    <x v="1"/>
    <n v="19.7"/>
    <x v="1"/>
    <n v="18"/>
    <x v="0"/>
    <x v="2"/>
  </r>
  <r>
    <x v="4"/>
    <n v="14"/>
    <x v="0"/>
    <x v="42"/>
    <d v="2022-03-18T00:00:00"/>
    <n v="18"/>
    <n v="70.63"/>
    <n v="41"/>
    <n v="4.0999999999999996"/>
    <n v="59.4"/>
    <x v="7"/>
    <n v="15.6"/>
    <x v="2"/>
    <n v="23.7"/>
    <x v="2"/>
    <n v="15.6"/>
    <x v="1"/>
    <n v="15.1"/>
    <x v="0"/>
    <x v="2"/>
  </r>
  <r>
    <x v="4"/>
    <n v="14"/>
    <x v="1"/>
    <x v="43"/>
    <d v="2022-03-19T00:00:00"/>
    <n v="9"/>
    <n v="65"/>
    <n v="25"/>
    <n v="3.4"/>
    <n v="55"/>
    <x v="17"/>
    <n v="14"/>
    <x v="2"/>
    <n v="21.5"/>
    <x v="2"/>
    <n v="13.9"/>
    <x v="1"/>
    <n v="14.2"/>
    <x v="0"/>
    <x v="2"/>
  </r>
  <r>
    <x v="5"/>
    <n v="33"/>
    <x v="0"/>
    <x v="14"/>
    <d v="2022-03-20T00:00:00"/>
    <n v="19"/>
    <n v="65.34"/>
    <n v="26"/>
    <n v="4.2"/>
    <n v="2"/>
    <x v="9"/>
    <n v="16.2"/>
    <x v="1"/>
    <n v="18.899999999999999"/>
    <x v="3"/>
    <n v="13.8"/>
    <x v="2"/>
    <n v="10.7"/>
    <x v="0"/>
    <x v="2"/>
  </r>
  <r>
    <x v="5"/>
    <n v="33"/>
    <x v="1"/>
    <x v="44"/>
    <d v="2022-03-21T00:00:00"/>
    <n v="14"/>
    <n v="60.2"/>
    <n v="27"/>
    <n v="3.9"/>
    <n v="50.5"/>
    <x v="10"/>
    <n v="15"/>
    <x v="1"/>
    <n v="17.8"/>
    <x v="3"/>
    <n v="12"/>
    <x v="2"/>
    <n v="9.5"/>
    <x v="0"/>
    <x v="2"/>
  </r>
  <r>
    <x v="0"/>
    <n v="91"/>
    <x v="0"/>
    <x v="45"/>
    <d v="2022-03-22T00:00:00"/>
    <n v="55"/>
    <n v="54.88"/>
    <n v="77"/>
    <n v="4.3"/>
    <n v="61.5"/>
    <x v="23"/>
    <n v="17.100000000000001"/>
    <x v="0"/>
    <n v="6.2"/>
    <x v="0"/>
    <n v="17.399999999999999"/>
    <x v="0"/>
    <n v="22.2"/>
    <x v="0"/>
    <x v="2"/>
  </r>
  <r>
    <x v="0"/>
    <n v="91"/>
    <x v="1"/>
    <x v="37"/>
    <d v="2022-03-23T00:00:00"/>
    <n v="28"/>
    <n v="56.3"/>
    <n v="73"/>
    <n v="3.5"/>
    <n v="59.2"/>
    <x v="24"/>
    <n v="16"/>
    <x v="0"/>
    <n v="6"/>
    <x v="0"/>
    <n v="16.8"/>
    <x v="0"/>
    <n v="21.5"/>
    <x v="0"/>
    <x v="2"/>
  </r>
  <r>
    <x v="1"/>
    <n v="44"/>
    <x v="0"/>
    <x v="28"/>
    <d v="2022-03-24T00:00:00"/>
    <n v="48"/>
    <n v="91.47"/>
    <n v="49"/>
    <n v="3"/>
    <n v="47.8"/>
    <x v="2"/>
    <n v="18"/>
    <x v="1"/>
    <n v="27.5"/>
    <x v="0"/>
    <n v="8.1"/>
    <x v="1"/>
    <n v="6.9"/>
    <x v="0"/>
    <x v="2"/>
  </r>
  <r>
    <x v="1"/>
    <n v="44"/>
    <x v="1"/>
    <x v="38"/>
    <d v="2022-03-25T00:00:00"/>
    <n v="39"/>
    <n v="85.3"/>
    <n v="35"/>
    <n v="2.8"/>
    <n v="45"/>
    <x v="3"/>
    <n v="17.5"/>
    <x v="1"/>
    <n v="26"/>
    <x v="0"/>
    <n v="7.5"/>
    <x v="1"/>
    <n v="6.3"/>
    <x v="0"/>
    <x v="2"/>
  </r>
  <r>
    <x v="2"/>
    <n v="26"/>
    <x v="0"/>
    <x v="46"/>
    <d v="2022-03-26T00:00:00"/>
    <n v="10"/>
    <n v="6.04"/>
    <n v="78"/>
    <n v="3.1"/>
    <n v="48.7"/>
    <x v="4"/>
    <n v="5.8"/>
    <x v="2"/>
    <n v="23.6"/>
    <x v="0"/>
    <n v="18.399999999999999"/>
    <x v="0"/>
    <n v="11.6"/>
    <x v="0"/>
    <x v="2"/>
  </r>
  <r>
    <x v="2"/>
    <n v="26"/>
    <x v="1"/>
    <x v="47"/>
    <d v="2022-03-27T00:00:00"/>
    <n v="15"/>
    <n v="7.5"/>
    <n v="75"/>
    <n v="3.2"/>
    <n v="46.2"/>
    <x v="25"/>
    <n v="5.5"/>
    <x v="2"/>
    <n v="22"/>
    <x v="0"/>
    <n v="16.7"/>
    <x v="0"/>
    <n v="10.8"/>
    <x v="0"/>
    <x v="2"/>
  </r>
  <r>
    <x v="3"/>
    <n v="68"/>
    <x v="0"/>
    <x v="48"/>
    <d v="2022-03-28T00:00:00"/>
    <n v="16"/>
    <n v="90"/>
    <n v="54"/>
    <n v="3.5"/>
    <n v="67.8"/>
    <x v="6"/>
    <n v="11"/>
    <x v="0"/>
    <n v="5.3"/>
    <x v="1"/>
    <n v="20.5"/>
    <x v="1"/>
    <n v="19.5"/>
    <x v="0"/>
    <x v="2"/>
  </r>
  <r>
    <x v="3"/>
    <n v="68"/>
    <x v="1"/>
    <x v="49"/>
    <d v="2022-03-29T00:00:00"/>
    <n v="12"/>
    <n v="88"/>
    <n v="50"/>
    <n v="3.2"/>
    <n v="4"/>
    <x v="5"/>
    <n v="10.199999999999999"/>
    <x v="0"/>
    <n v="4.8"/>
    <x v="1"/>
    <n v="19.7"/>
    <x v="1"/>
    <n v="18"/>
    <x v="0"/>
    <x v="2"/>
  </r>
  <r>
    <x v="4"/>
    <n v="14"/>
    <x v="0"/>
    <x v="42"/>
    <d v="2022-03-30T00:00:00"/>
    <n v="18"/>
    <n v="70.63"/>
    <n v="41"/>
    <n v="4.0999999999999996"/>
    <n v="59.4"/>
    <x v="7"/>
    <n v="15.6"/>
    <x v="2"/>
    <n v="23.7"/>
    <x v="2"/>
    <n v="15.6"/>
    <x v="1"/>
    <n v="15.1"/>
    <x v="0"/>
    <x v="2"/>
  </r>
  <r>
    <x v="4"/>
    <n v="14"/>
    <x v="1"/>
    <x v="49"/>
    <d v="2022-03-31T00:00:00"/>
    <n v="9"/>
    <n v="65"/>
    <n v="25"/>
    <n v="3.4"/>
    <n v="55"/>
    <x v="17"/>
    <n v="14"/>
    <x v="2"/>
    <n v="21.5"/>
    <x v="2"/>
    <n v="13.9"/>
    <x v="1"/>
    <n v="14.2"/>
    <x v="0"/>
    <x v="2"/>
  </r>
  <r>
    <x v="5"/>
    <n v="33"/>
    <x v="0"/>
    <x v="14"/>
    <d v="2022-04-01T00:00:00"/>
    <n v="19"/>
    <n v="65.34"/>
    <n v="26"/>
    <n v="4.2"/>
    <n v="52.3"/>
    <x v="9"/>
    <n v="16.2"/>
    <x v="1"/>
    <n v="18.899999999999999"/>
    <x v="3"/>
    <n v="13.8"/>
    <x v="2"/>
    <n v="10.7"/>
    <x v="0"/>
    <x v="3"/>
  </r>
  <r>
    <x v="5"/>
    <n v="33"/>
    <x v="1"/>
    <x v="50"/>
    <d v="2022-04-02T00:00:00"/>
    <n v="14"/>
    <n v="60.2"/>
    <n v="27"/>
    <n v="3.9"/>
    <n v="50.5"/>
    <x v="10"/>
    <n v="15"/>
    <x v="1"/>
    <n v="17.8"/>
    <x v="3"/>
    <n v="12"/>
    <x v="2"/>
    <n v="9.5"/>
    <x v="0"/>
    <x v="3"/>
  </r>
  <r>
    <x v="0"/>
    <n v="91"/>
    <x v="0"/>
    <x v="51"/>
    <d v="2022-04-03T00:00:00"/>
    <n v="54"/>
    <n v="55.5"/>
    <n v="77"/>
    <n v="4.0999999999999996"/>
    <n v="60"/>
    <x v="26"/>
    <n v="17.3"/>
    <x v="0"/>
    <n v="6.5"/>
    <x v="0"/>
    <n v="18.2"/>
    <x v="0"/>
    <n v="23"/>
    <x v="0"/>
    <x v="3"/>
  </r>
  <r>
    <x v="0"/>
    <n v="91"/>
    <x v="1"/>
    <x v="52"/>
    <d v="2022-04-04T00:00:00"/>
    <n v="26"/>
    <n v="58"/>
    <n v="70"/>
    <n v="3.8"/>
    <n v="58"/>
    <x v="27"/>
    <n v="15.5"/>
    <x v="0"/>
    <n v="5.8"/>
    <x v="0"/>
    <n v="15"/>
    <x v="0"/>
    <n v="20"/>
    <x v="0"/>
    <x v="3"/>
  </r>
  <r>
    <x v="1"/>
    <n v="44"/>
    <x v="0"/>
    <x v="2"/>
    <d v="2022-04-05T00:00:00"/>
    <n v="49"/>
    <n v="90"/>
    <n v="45"/>
    <n v="3.1"/>
    <n v="48.5"/>
    <x v="2"/>
    <n v="18.5"/>
    <x v="1"/>
    <n v="25"/>
    <x v="0"/>
    <n v="9"/>
    <x v="1"/>
    <n v="7.5"/>
    <x v="0"/>
    <x v="3"/>
  </r>
  <r>
    <x v="1"/>
    <n v="44"/>
    <x v="1"/>
    <x v="17"/>
    <d v="2022-04-06T00:00:00"/>
    <n v="37"/>
    <n v="87"/>
    <n v="40"/>
    <n v="2.9"/>
    <n v="46"/>
    <x v="14"/>
    <n v="16.5"/>
    <x v="1"/>
    <n v="24"/>
    <x v="0"/>
    <n v="8"/>
    <x v="1"/>
    <n v="6.5"/>
    <x v="0"/>
    <x v="3"/>
  </r>
  <r>
    <x v="2"/>
    <n v="26"/>
    <x v="0"/>
    <x v="38"/>
    <d v="2022-04-07T00:00:00"/>
    <n v="8"/>
    <n v="5"/>
    <n v="76"/>
    <n v="3"/>
    <n v="47"/>
    <x v="28"/>
    <n v="6"/>
    <x v="2"/>
    <n v="20"/>
    <x v="0"/>
    <n v="16"/>
    <x v="0"/>
    <n v="12"/>
    <x v="0"/>
    <x v="3"/>
  </r>
  <r>
    <x v="2"/>
    <n v="26"/>
    <x v="1"/>
    <x v="44"/>
    <d v="2022-04-08T00:00:00"/>
    <n v="10"/>
    <n v="7"/>
    <n v="74"/>
    <n v="3.2"/>
    <n v="44"/>
    <x v="13"/>
    <n v="5.5"/>
    <x v="2"/>
    <n v="19"/>
    <x v="0"/>
    <n v="15"/>
    <x v="0"/>
    <n v="11.5"/>
    <x v="0"/>
    <x v="3"/>
  </r>
  <r>
    <x v="3"/>
    <n v="68"/>
    <x v="0"/>
    <x v="53"/>
    <d v="2022-04-09T00:00:00"/>
    <n v="14"/>
    <n v="91.5"/>
    <n v="55"/>
    <n v="3.6"/>
    <n v="68"/>
    <x v="4"/>
    <n v="12"/>
    <x v="0"/>
    <n v="5"/>
    <x v="1"/>
    <n v="18"/>
    <x v="1"/>
    <n v="19"/>
    <x v="0"/>
    <x v="3"/>
  </r>
  <r>
    <x v="3"/>
    <n v="68"/>
    <x v="1"/>
    <x v="54"/>
    <d v="2022-04-10T00:00:00"/>
    <n v="11"/>
    <n v="89"/>
    <n v="53"/>
    <n v="3"/>
    <n v="65"/>
    <x v="3"/>
    <n v="10"/>
    <x v="0"/>
    <n v="4.5"/>
    <x v="1"/>
    <n v="16"/>
    <x v="1"/>
    <n v="17"/>
    <x v="0"/>
    <x v="3"/>
  </r>
  <r>
    <x v="4"/>
    <n v="14"/>
    <x v="0"/>
    <x v="33"/>
    <d v="2022-04-11T00:00:00"/>
    <n v="17"/>
    <n v="72"/>
    <n v="42"/>
    <n v="4.2"/>
    <n v="0"/>
    <x v="29"/>
    <n v="14.5"/>
    <x v="2"/>
    <n v="21"/>
    <x v="2"/>
    <n v="16"/>
    <x v="1"/>
    <n v="15.5"/>
    <x v="0"/>
    <x v="3"/>
  </r>
  <r>
    <x v="4"/>
    <n v="14"/>
    <x v="1"/>
    <x v="55"/>
    <d v="2022-04-12T00:00:00"/>
    <n v="8"/>
    <n v="67"/>
    <n v="27"/>
    <n v="3.7"/>
    <n v="56"/>
    <x v="30"/>
    <n v="12.5"/>
    <x v="2"/>
    <n v="20.5"/>
    <x v="2"/>
    <n v="14"/>
    <x v="1"/>
    <n v="13.5"/>
    <x v="0"/>
    <x v="3"/>
  </r>
  <r>
    <x v="5"/>
    <n v="33"/>
    <x v="0"/>
    <x v="39"/>
    <d v="2022-04-13T00:00:00"/>
    <n v="20"/>
    <n v="63"/>
    <n v="28"/>
    <n v="4.3"/>
    <n v="53"/>
    <x v="29"/>
    <n v="15"/>
    <x v="1"/>
    <n v="19"/>
    <x v="3"/>
    <n v="14"/>
    <x v="2"/>
    <n v="11"/>
    <x v="0"/>
    <x v="3"/>
  </r>
  <r>
    <x v="5"/>
    <n v="33"/>
    <x v="1"/>
    <x v="11"/>
    <d v="2022-04-14T00:00:00"/>
    <n v="15"/>
    <n v="59"/>
    <n v="29"/>
    <n v="3.9"/>
    <n v="51"/>
    <x v="31"/>
    <n v="14"/>
    <x v="1"/>
    <n v="18"/>
    <x v="3"/>
    <n v="13"/>
    <x v="2"/>
    <n v="10"/>
    <x v="0"/>
    <x v="3"/>
  </r>
  <r>
    <x v="0"/>
    <n v="91"/>
    <x v="0"/>
    <x v="56"/>
    <d v="2022-04-15T00:00:00"/>
    <n v="52"/>
    <n v="54"/>
    <n v="77"/>
    <n v="4.4000000000000004"/>
    <n v="59"/>
    <x v="32"/>
    <n v="16"/>
    <x v="0"/>
    <n v="7"/>
    <x v="0"/>
    <n v="15"/>
    <x v="0"/>
    <n v="22"/>
    <x v="0"/>
    <x v="3"/>
  </r>
  <r>
    <x v="0"/>
    <n v="91"/>
    <x v="1"/>
    <x v="57"/>
    <d v="2022-04-16T00:00:00"/>
    <n v="27"/>
    <n v="56"/>
    <n v="70"/>
    <n v="3.8"/>
    <n v="58"/>
    <x v="33"/>
    <n v="14"/>
    <x v="0"/>
    <n v="6"/>
    <x v="0"/>
    <n v="14"/>
    <x v="0"/>
    <n v="21"/>
    <x v="0"/>
    <x v="3"/>
  </r>
  <r>
    <x v="1"/>
    <n v="44"/>
    <x v="0"/>
    <x v="12"/>
    <d v="2022-04-17T00:00:00"/>
    <n v="45"/>
    <n v="89"/>
    <n v="45"/>
    <n v="3.2"/>
    <n v="45"/>
    <x v="13"/>
    <n v="17"/>
    <x v="1"/>
    <n v="26"/>
    <x v="0"/>
    <n v="7"/>
    <x v="1"/>
    <n v="7"/>
    <x v="0"/>
    <x v="3"/>
  </r>
  <r>
    <x v="1"/>
    <n v="44"/>
    <x v="1"/>
    <x v="3"/>
    <d v="2022-04-18T00:00:00"/>
    <n v="38"/>
    <n v="85"/>
    <n v="35"/>
    <n v="2.8"/>
    <n v="44"/>
    <x v="14"/>
    <n v="16"/>
    <x v="1"/>
    <n v="25"/>
    <x v="0"/>
    <n v="6.5"/>
    <x v="1"/>
    <n v="6.5"/>
    <x v="0"/>
    <x v="3"/>
  </r>
  <r>
    <x v="2"/>
    <n v="26"/>
    <x v="0"/>
    <x v="58"/>
    <d v="2022-04-19T00:00:00"/>
    <n v="9"/>
    <n v="5.5"/>
    <n v="76"/>
    <n v="3.5"/>
    <n v="48"/>
    <x v="2"/>
    <n v="6.5"/>
    <x v="2"/>
    <n v="22"/>
    <x v="0"/>
    <n v="15"/>
    <x v="0"/>
    <n v="12"/>
    <x v="0"/>
    <x v="3"/>
  </r>
  <r>
    <x v="2"/>
    <n v="26"/>
    <x v="1"/>
    <x v="59"/>
    <d v="2022-04-20T00:00:00"/>
    <n v="12"/>
    <n v="6"/>
    <n v="75"/>
    <n v="3.1"/>
    <n v="45"/>
    <x v="3"/>
    <n v="5"/>
    <x v="2"/>
    <n v="21"/>
    <x v="0"/>
    <n v="14"/>
    <x v="0"/>
    <n v="11"/>
    <x v="0"/>
    <x v="3"/>
  </r>
  <r>
    <x v="0"/>
    <n v="91"/>
    <x v="0"/>
    <x v="36"/>
    <d v="2022-04-21T00:00:00"/>
    <n v="55"/>
    <n v="54.88"/>
    <n v="77"/>
    <n v="4.3"/>
    <n v="1.5"/>
    <x v="23"/>
    <n v="17.100000000000001"/>
    <x v="0"/>
    <n v="6.2"/>
    <x v="0"/>
    <n v="17.399999999999999"/>
    <x v="0"/>
    <n v="22.2"/>
    <x v="0"/>
    <x v="3"/>
  </r>
  <r>
    <x v="0"/>
    <n v="91"/>
    <x v="1"/>
    <x v="37"/>
    <d v="2022-04-22T00:00:00"/>
    <n v="28"/>
    <n v="56.3"/>
    <n v="73"/>
    <n v="3.5"/>
    <n v="59.2"/>
    <x v="24"/>
    <n v="16"/>
    <x v="0"/>
    <n v="6"/>
    <x v="0"/>
    <n v="16.8"/>
    <x v="0"/>
    <n v="21.5"/>
    <x v="0"/>
    <x v="3"/>
  </r>
  <r>
    <x v="0"/>
    <n v="91"/>
    <x v="2"/>
    <x v="33"/>
    <d v="2022-04-23T00:00:00"/>
    <n v="20"/>
    <n v="58"/>
    <n v="65"/>
    <n v="3.9"/>
    <n v="57.5"/>
    <x v="34"/>
    <n v="15.5"/>
    <x v="0"/>
    <n v="5.5"/>
    <x v="0"/>
    <n v="15.2"/>
    <x v="2"/>
    <n v="20"/>
    <x v="0"/>
    <x v="3"/>
  </r>
  <r>
    <x v="1"/>
    <n v="44"/>
    <x v="0"/>
    <x v="28"/>
    <d v="2022-04-24T00:00:00"/>
    <n v="48"/>
    <n v="91.47"/>
    <n v="49"/>
    <n v="3"/>
    <n v="47.8"/>
    <x v="2"/>
    <n v="18"/>
    <x v="1"/>
    <n v="27.5"/>
    <x v="0"/>
    <n v="8.1"/>
    <x v="1"/>
    <n v="6.9"/>
    <x v="0"/>
    <x v="3"/>
  </r>
  <r>
    <x v="1"/>
    <n v="44"/>
    <x v="1"/>
    <x v="38"/>
    <d v="2022-04-25T00:00:00"/>
    <n v="39"/>
    <n v="85.3"/>
    <n v="35"/>
    <n v="2.8"/>
    <n v="5"/>
    <x v="3"/>
    <n v="17.5"/>
    <x v="1"/>
    <n v="26"/>
    <x v="0"/>
    <n v="7.5"/>
    <x v="1"/>
    <n v="6.3"/>
    <x v="0"/>
    <x v="3"/>
  </r>
  <r>
    <x v="1"/>
    <n v="44"/>
    <x v="2"/>
    <x v="44"/>
    <d v="2022-04-26T00:00:00"/>
    <n v="30"/>
    <n v="87"/>
    <n v="30"/>
    <n v="3.2"/>
    <n v="46.5"/>
    <x v="18"/>
    <n v="14"/>
    <x v="1"/>
    <n v="24"/>
    <x v="0"/>
    <n v="6.8"/>
    <x v="1"/>
    <n v="6.1"/>
    <x v="0"/>
    <x v="3"/>
  </r>
  <r>
    <x v="2"/>
    <n v="26"/>
    <x v="0"/>
    <x v="46"/>
    <d v="2022-04-27T00:00:00"/>
    <n v="10"/>
    <n v="6.04"/>
    <n v="78"/>
    <n v="3.1"/>
    <n v="48.7"/>
    <x v="4"/>
    <n v="5.8"/>
    <x v="2"/>
    <n v="23.6"/>
    <x v="0"/>
    <n v="18.399999999999999"/>
    <x v="0"/>
    <n v="11.6"/>
    <x v="0"/>
    <x v="3"/>
  </r>
  <r>
    <x v="2"/>
    <n v="26"/>
    <x v="1"/>
    <x v="3"/>
    <d v="2022-04-28T00:00:00"/>
    <n v="15"/>
    <n v="7.5"/>
    <n v="75"/>
    <n v="3.2"/>
    <n v="46.2"/>
    <x v="25"/>
    <n v="5.5"/>
    <x v="2"/>
    <n v="22"/>
    <x v="0"/>
    <n v="16.7"/>
    <x v="0"/>
    <n v="10.8"/>
    <x v="0"/>
    <x v="3"/>
  </r>
  <r>
    <x v="2"/>
    <n v="26"/>
    <x v="2"/>
    <x v="60"/>
    <d v="2022-04-29T00:00:00"/>
    <n v="12"/>
    <n v="8"/>
    <n v="70"/>
    <n v="3.1"/>
    <n v="44"/>
    <x v="8"/>
    <n v="4"/>
    <x v="2"/>
    <n v="20"/>
    <x v="0"/>
    <n v="14"/>
    <x v="0"/>
    <n v="9.5"/>
    <x v="0"/>
    <x v="3"/>
  </r>
  <r>
    <x v="3"/>
    <n v="68"/>
    <x v="0"/>
    <x v="40"/>
    <d v="2022-04-30T00:00:00"/>
    <n v="16"/>
    <n v="90"/>
    <n v="54"/>
    <n v="3.5"/>
    <n v="7.8"/>
    <x v="6"/>
    <n v="11"/>
    <x v="0"/>
    <n v="5.3"/>
    <x v="1"/>
    <n v="20.5"/>
    <x v="1"/>
    <n v="19.5"/>
    <x v="0"/>
    <x v="3"/>
  </r>
  <r>
    <x v="3"/>
    <n v="68"/>
    <x v="1"/>
    <x v="49"/>
    <d v="2022-05-01T00:00:00"/>
    <n v="12"/>
    <n v="88"/>
    <n v="50"/>
    <n v="3.2"/>
    <n v="6"/>
    <x v="5"/>
    <n v="10.199999999999999"/>
    <x v="0"/>
    <n v="4.8"/>
    <x v="1"/>
    <n v="19.7"/>
    <x v="1"/>
    <n v="18"/>
    <x v="0"/>
    <x v="4"/>
  </r>
  <r>
    <x v="3"/>
    <n v="68"/>
    <x v="2"/>
    <x v="61"/>
    <d v="2022-05-02T00:00:00"/>
    <n v="10"/>
    <n v="89"/>
    <n v="45"/>
    <n v="3"/>
    <n v="6"/>
    <x v="35"/>
    <n v="9.5"/>
    <x v="0"/>
    <n v="4"/>
    <x v="1"/>
    <n v="18"/>
    <x v="1"/>
    <n v="16"/>
    <x v="0"/>
    <x v="4"/>
  </r>
  <r>
    <x v="4"/>
    <n v="14"/>
    <x v="0"/>
    <x v="42"/>
    <d v="2022-05-03T00:00:00"/>
    <n v="18"/>
    <n v="70.63"/>
    <n v="41"/>
    <n v="4.0999999999999996"/>
    <n v="59.4"/>
    <x v="7"/>
    <n v="15.6"/>
    <x v="2"/>
    <n v="23.7"/>
    <x v="2"/>
    <n v="15.6"/>
    <x v="1"/>
    <n v="15.1"/>
    <x v="0"/>
    <x v="4"/>
  </r>
  <r>
    <x v="4"/>
    <n v="14"/>
    <x v="1"/>
    <x v="62"/>
    <d v="2022-05-04T00:00:00"/>
    <n v="9"/>
    <n v="65"/>
    <n v="25"/>
    <n v="3.4"/>
    <n v="55"/>
    <x v="17"/>
    <n v="14"/>
    <x v="2"/>
    <n v="21.5"/>
    <x v="2"/>
    <n v="13.9"/>
    <x v="1"/>
    <n v="14.2"/>
    <x v="0"/>
    <x v="4"/>
  </r>
  <r>
    <x v="4"/>
    <n v="14"/>
    <x v="2"/>
    <x v="63"/>
    <d v="2022-05-05T00:00:00"/>
    <n v="7"/>
    <n v="64"/>
    <n v="26"/>
    <n v="3.5"/>
    <n v="53"/>
    <x v="27"/>
    <n v="12"/>
    <x v="2"/>
    <n v="20"/>
    <x v="2"/>
    <n v="12.5"/>
    <x v="1"/>
    <n v="12"/>
    <x v="0"/>
    <x v="4"/>
  </r>
  <r>
    <x v="5"/>
    <n v="33"/>
    <x v="0"/>
    <x v="14"/>
    <d v="2022-05-06T00:00:00"/>
    <n v="19"/>
    <n v="65.34"/>
    <n v="27"/>
    <n v="4.2"/>
    <n v="52.3"/>
    <x v="9"/>
    <n v="16.2"/>
    <x v="1"/>
    <n v="18.899999999999999"/>
    <x v="3"/>
    <n v="13.8"/>
    <x v="2"/>
    <n v="10.7"/>
    <x v="0"/>
    <x v="4"/>
  </r>
  <r>
    <x v="5"/>
    <n v="33"/>
    <x v="1"/>
    <x v="44"/>
    <d v="2022-05-07T00:00:00"/>
    <n v="14"/>
    <n v="60.2"/>
    <n v="28"/>
    <n v="3.9"/>
    <n v="50.5"/>
    <x v="10"/>
    <n v="15"/>
    <x v="1"/>
    <n v="17.8"/>
    <x v="3"/>
    <n v="12"/>
    <x v="2"/>
    <n v="9.5"/>
    <x v="0"/>
    <x v="4"/>
  </r>
  <r>
    <x v="5"/>
    <n v="33"/>
    <x v="2"/>
    <x v="57"/>
    <d v="2022-05-08T00:00:00"/>
    <n v="10"/>
    <n v="58"/>
    <n v="29"/>
    <n v="3.6"/>
    <n v="48"/>
    <x v="36"/>
    <n v="13"/>
    <x v="1"/>
    <n v="16"/>
    <x v="3"/>
    <n v="11"/>
    <x v="2"/>
    <n v="8"/>
    <x v="0"/>
    <x v="4"/>
  </r>
  <r>
    <x v="0"/>
    <n v="91"/>
    <x v="0"/>
    <x v="51"/>
    <d v="2022-05-09T00:00:00"/>
    <n v="54"/>
    <n v="55.5"/>
    <n v="77"/>
    <n v="4.0999999999999996"/>
    <n v="0"/>
    <x v="26"/>
    <n v="17.3"/>
    <x v="0"/>
    <n v="6.5"/>
    <x v="0"/>
    <n v="18.2"/>
    <x v="0"/>
    <n v="23"/>
    <x v="0"/>
    <x v="4"/>
  </r>
  <r>
    <x v="0"/>
    <n v="91"/>
    <x v="1"/>
    <x v="64"/>
    <d v="2022-05-10T00:00:00"/>
    <n v="26"/>
    <n v="58"/>
    <n v="70"/>
    <n v="3.8"/>
    <n v="58"/>
    <x v="27"/>
    <n v="15.5"/>
    <x v="0"/>
    <n v="5.8"/>
    <x v="0"/>
    <n v="15"/>
    <x v="0"/>
    <n v="20"/>
    <x v="0"/>
    <x v="4"/>
  </r>
  <r>
    <x v="1"/>
    <n v="44"/>
    <x v="0"/>
    <x v="2"/>
    <d v="2022-05-11T00:00:00"/>
    <n v="49"/>
    <n v="90"/>
    <n v="45"/>
    <n v="3.1"/>
    <n v="48.5"/>
    <x v="2"/>
    <n v="18.5"/>
    <x v="1"/>
    <n v="25"/>
    <x v="0"/>
    <n v="9"/>
    <x v="1"/>
    <n v="7.5"/>
    <x v="0"/>
    <x v="4"/>
  </r>
  <r>
    <x v="1"/>
    <n v="44"/>
    <x v="1"/>
    <x v="58"/>
    <d v="2022-05-12T00:00:00"/>
    <n v="37"/>
    <n v="87"/>
    <n v="40"/>
    <n v="2.9"/>
    <n v="44"/>
    <x v="14"/>
    <n v="16.5"/>
    <x v="1"/>
    <n v="24"/>
    <x v="0"/>
    <n v="8"/>
    <x v="1"/>
    <n v="6.5"/>
    <x v="0"/>
    <x v="4"/>
  </r>
  <r>
    <x v="1"/>
    <n v="44"/>
    <x v="2"/>
    <x v="57"/>
    <d v="2022-05-13T00:00:00"/>
    <n v="25"/>
    <n v="85"/>
    <n v="35"/>
    <n v="3"/>
    <n v="43"/>
    <x v="37"/>
    <n v="15"/>
    <x v="1"/>
    <n v="23"/>
    <x v="0"/>
    <n v="7"/>
    <x v="1"/>
    <n v="5"/>
    <x v="0"/>
    <x v="4"/>
  </r>
  <r>
    <x v="2"/>
    <n v="26"/>
    <x v="0"/>
    <x v="38"/>
    <d v="2022-05-14T00:00:00"/>
    <n v="8"/>
    <n v="5"/>
    <n v="76"/>
    <n v="3"/>
    <n v="47"/>
    <x v="28"/>
    <n v="6"/>
    <x v="2"/>
    <n v="20"/>
    <x v="0"/>
    <n v="16"/>
    <x v="0"/>
    <n v="12"/>
    <x v="0"/>
    <x v="4"/>
  </r>
  <r>
    <x v="2"/>
    <n v="26"/>
    <x v="1"/>
    <x v="44"/>
    <d v="2022-05-15T00:00:00"/>
    <n v="10"/>
    <n v="7"/>
    <n v="74"/>
    <n v="3.2"/>
    <n v="44"/>
    <x v="13"/>
    <n v="5.5"/>
    <x v="2"/>
    <n v="19"/>
    <x v="0"/>
    <n v="15"/>
    <x v="0"/>
    <n v="11.5"/>
    <x v="0"/>
    <x v="4"/>
  </r>
  <r>
    <x v="2"/>
    <n v="26"/>
    <x v="2"/>
    <x v="61"/>
    <d v="2022-05-16T00:00:00"/>
    <n v="7"/>
    <n v="6.5"/>
    <n v="70"/>
    <n v="3.1"/>
    <n v="42"/>
    <x v="12"/>
    <n v="4.5"/>
    <x v="2"/>
    <n v="18"/>
    <x v="0"/>
    <n v="14"/>
    <x v="0"/>
    <n v="10"/>
    <x v="0"/>
    <x v="4"/>
  </r>
  <r>
    <x v="3"/>
    <n v="68"/>
    <x v="0"/>
    <x v="42"/>
    <d v="2022-05-17T00:00:00"/>
    <n v="14"/>
    <n v="91.5"/>
    <n v="55"/>
    <n v="3.6"/>
    <n v="8"/>
    <x v="4"/>
    <n v="12"/>
    <x v="0"/>
    <n v="5"/>
    <x v="1"/>
    <n v="18"/>
    <x v="1"/>
    <n v="19"/>
    <x v="0"/>
    <x v="4"/>
  </r>
  <r>
    <x v="3"/>
    <n v="68"/>
    <x v="1"/>
    <x v="10"/>
    <d v="2022-05-18T00:00:00"/>
    <n v="11"/>
    <n v="89"/>
    <n v="53"/>
    <n v="3"/>
    <n v="6"/>
    <x v="3"/>
    <n v="10"/>
    <x v="0"/>
    <n v="4.5"/>
    <x v="1"/>
    <n v="16"/>
    <x v="1"/>
    <n v="17"/>
    <x v="0"/>
    <x v="4"/>
  </r>
  <r>
    <x v="3"/>
    <n v="68"/>
    <x v="2"/>
    <x v="63"/>
    <d v="2022-05-19T00:00:00"/>
    <n v="9"/>
    <n v="88"/>
    <n v="45"/>
    <n v="2.8"/>
    <n v="63"/>
    <x v="38"/>
    <n v="9"/>
    <x v="0"/>
    <n v="4"/>
    <x v="1"/>
    <n v="15"/>
    <x v="1"/>
    <n v="16"/>
    <x v="0"/>
    <x v="4"/>
  </r>
  <r>
    <x v="4"/>
    <n v="14"/>
    <x v="0"/>
    <x v="65"/>
    <d v="2022-05-20T00:00:00"/>
    <n v="17"/>
    <n v="72"/>
    <n v="42"/>
    <n v="4.2"/>
    <n v="60"/>
    <x v="29"/>
    <n v="14.5"/>
    <x v="2"/>
    <n v="21"/>
    <x v="2"/>
    <n v="16"/>
    <x v="1"/>
    <n v="15.5"/>
    <x v="0"/>
    <x v="4"/>
  </r>
  <r>
    <x v="4"/>
    <n v="14"/>
    <x v="1"/>
    <x v="66"/>
    <d v="2022-05-21T00:00:00"/>
    <n v="8"/>
    <n v="67"/>
    <n v="27"/>
    <n v="3.7"/>
    <n v="56"/>
    <x v="30"/>
    <n v="12.5"/>
    <x v="2"/>
    <n v="20.5"/>
    <x v="2"/>
    <n v="14"/>
    <x v="1"/>
    <n v="13.5"/>
    <x v="0"/>
    <x v="4"/>
  </r>
  <r>
    <x v="4"/>
    <n v="14"/>
    <x v="2"/>
    <x v="66"/>
    <d v="2022-05-22T00:00:00"/>
    <n v="6"/>
    <n v="66"/>
    <n v="25"/>
    <n v="3.5"/>
    <n v="54"/>
    <x v="39"/>
    <n v="12"/>
    <x v="2"/>
    <n v="19"/>
    <x v="2"/>
    <n v="13"/>
    <x v="1"/>
    <n v="12"/>
    <x v="0"/>
    <x v="4"/>
  </r>
  <r>
    <x v="5"/>
    <n v="33"/>
    <x v="0"/>
    <x v="46"/>
    <d v="2022-05-23T00:00:00"/>
    <n v="20"/>
    <n v="63"/>
    <n v="26"/>
    <n v="4.3"/>
    <n v="53"/>
    <x v="29"/>
    <n v="15"/>
    <x v="1"/>
    <n v="19"/>
    <x v="3"/>
    <n v="14"/>
    <x v="2"/>
    <n v="11"/>
    <x v="0"/>
    <x v="4"/>
  </r>
  <r>
    <x v="5"/>
    <n v="33"/>
    <x v="1"/>
    <x v="44"/>
    <d v="2022-05-24T00:00:00"/>
    <n v="15"/>
    <n v="59"/>
    <n v="27"/>
    <n v="3.9"/>
    <n v="51"/>
    <x v="31"/>
    <n v="14"/>
    <x v="1"/>
    <n v="18"/>
    <x v="3"/>
    <n v="13"/>
    <x v="2"/>
    <n v="10"/>
    <x v="0"/>
    <x v="4"/>
  </r>
  <r>
    <x v="5"/>
    <n v="33"/>
    <x v="2"/>
    <x v="57"/>
    <d v="2022-05-25T00:00:00"/>
    <n v="10"/>
    <n v="58"/>
    <n v="28"/>
    <n v="3.6"/>
    <n v="48"/>
    <x v="36"/>
    <n v="13"/>
    <x v="1"/>
    <n v="16"/>
    <x v="3"/>
    <n v="11"/>
    <x v="2"/>
    <n v="8"/>
    <x v="0"/>
    <x v="4"/>
  </r>
  <r>
    <x v="0"/>
    <n v="91"/>
    <x v="0"/>
    <x v="56"/>
    <d v="2022-05-26T00:00:00"/>
    <n v="52"/>
    <n v="54"/>
    <n v="77"/>
    <n v="4.4000000000000004"/>
    <n v="59"/>
    <x v="32"/>
    <n v="16"/>
    <x v="0"/>
    <n v="7"/>
    <x v="0"/>
    <n v="15"/>
    <x v="0"/>
    <n v="22"/>
    <x v="0"/>
    <x v="4"/>
  </r>
  <r>
    <x v="0"/>
    <n v="91"/>
    <x v="1"/>
    <x v="57"/>
    <d v="2022-05-27T00:00:00"/>
    <n v="27"/>
    <n v="56"/>
    <n v="70"/>
    <n v="3.8"/>
    <n v="58"/>
    <x v="33"/>
    <n v="14"/>
    <x v="0"/>
    <n v="6"/>
    <x v="0"/>
    <n v="14"/>
    <x v="0"/>
    <n v="21"/>
    <x v="0"/>
    <x v="4"/>
  </r>
  <r>
    <x v="0"/>
    <n v="91"/>
    <x v="2"/>
    <x v="67"/>
    <d v="2022-05-28T00:00:00"/>
    <n v="12"/>
    <n v="58"/>
    <n v="65"/>
    <n v="3.4"/>
    <n v="56"/>
    <x v="38"/>
    <n v="13"/>
    <x v="0"/>
    <n v="5.5"/>
    <x v="0"/>
    <n v="12"/>
    <x v="0"/>
    <n v="19"/>
    <x v="0"/>
    <x v="4"/>
  </r>
  <r>
    <x v="1"/>
    <n v="44"/>
    <x v="0"/>
    <x v="12"/>
    <d v="2022-05-29T00:00:00"/>
    <n v="45"/>
    <n v="89"/>
    <n v="45"/>
    <n v="3.2"/>
    <n v="45"/>
    <x v="13"/>
    <n v="17"/>
    <x v="1"/>
    <n v="26"/>
    <x v="0"/>
    <n v="7"/>
    <x v="1"/>
    <n v="7"/>
    <x v="0"/>
    <x v="4"/>
  </r>
  <r>
    <x v="1"/>
    <n v="44"/>
    <x v="1"/>
    <x v="47"/>
    <d v="2022-05-30T00:00:00"/>
    <n v="38"/>
    <n v="85"/>
    <n v="40"/>
    <n v="2.9"/>
    <n v="44"/>
    <x v="14"/>
    <n v="16"/>
    <x v="1"/>
    <n v="25"/>
    <x v="0"/>
    <n v="6.5"/>
    <x v="1"/>
    <n v="6.5"/>
    <x v="0"/>
    <x v="4"/>
  </r>
  <r>
    <x v="1"/>
    <n v="44"/>
    <x v="2"/>
    <x v="52"/>
    <d v="2022-05-31T00:00:00"/>
    <n v="25"/>
    <n v="83"/>
    <n v="35"/>
    <n v="3"/>
    <n v="43"/>
    <x v="37"/>
    <n v="15"/>
    <x v="1"/>
    <n v="23"/>
    <x v="0"/>
    <n v="7"/>
    <x v="1"/>
    <n v="5"/>
    <x v="0"/>
    <x v="4"/>
  </r>
  <r>
    <x v="4"/>
    <n v="14"/>
    <x v="0"/>
    <x v="68"/>
    <d v="2022-06-01T00:00:00"/>
    <n v="17"/>
    <n v="70.63"/>
    <n v="42"/>
    <n v="4.2"/>
    <n v="60"/>
    <x v="29"/>
    <n v="14.5"/>
    <x v="2"/>
    <n v="21"/>
    <x v="2"/>
    <n v="16"/>
    <x v="1"/>
    <n v="15.5"/>
    <x v="0"/>
    <x v="5"/>
  </r>
  <r>
    <x v="4"/>
    <n v="14"/>
    <x v="1"/>
    <x v="69"/>
    <d v="2022-06-02T00:00:00"/>
    <n v="9"/>
    <n v="67"/>
    <n v="27"/>
    <n v="3.7"/>
    <n v="56"/>
    <x v="30"/>
    <n v="12.5"/>
    <x v="2"/>
    <n v="20.5"/>
    <x v="2"/>
    <n v="14"/>
    <x v="1"/>
    <n v="13.5"/>
    <x v="0"/>
    <x v="5"/>
  </r>
  <r>
    <x v="4"/>
    <n v="14"/>
    <x v="2"/>
    <x v="64"/>
    <d v="2022-06-03T00:00:00"/>
    <n v="6"/>
    <n v="66"/>
    <n v="25"/>
    <n v="3.5"/>
    <n v="54"/>
    <x v="39"/>
    <n v="12"/>
    <x v="2"/>
    <n v="19"/>
    <x v="2"/>
    <n v="13"/>
    <x v="1"/>
    <n v="12"/>
    <x v="0"/>
    <x v="5"/>
  </r>
  <r>
    <x v="5"/>
    <n v="33"/>
    <x v="0"/>
    <x v="58"/>
    <d v="2022-06-04T00:00:00"/>
    <n v="20"/>
    <n v="63"/>
    <n v="26"/>
    <n v="4.3"/>
    <n v="53"/>
    <x v="29"/>
    <n v="15"/>
    <x v="1"/>
    <n v="19"/>
    <x v="3"/>
    <n v="14"/>
    <x v="2"/>
    <n v="11"/>
    <x v="0"/>
    <x v="5"/>
  </r>
  <r>
    <x v="5"/>
    <n v="33"/>
    <x v="1"/>
    <x v="10"/>
    <d v="2022-06-05T00:00:00"/>
    <n v="15"/>
    <n v="59"/>
    <n v="27"/>
    <n v="3.9"/>
    <n v="51"/>
    <x v="31"/>
    <n v="14"/>
    <x v="1"/>
    <n v="18"/>
    <x v="3"/>
    <n v="13"/>
    <x v="2"/>
    <n v="10"/>
    <x v="0"/>
    <x v="5"/>
  </r>
  <r>
    <x v="5"/>
    <n v="33"/>
    <x v="2"/>
    <x v="70"/>
    <d v="2022-06-06T00:00:00"/>
    <n v="10"/>
    <n v="58"/>
    <n v="28"/>
    <n v="3.6"/>
    <n v="48"/>
    <x v="36"/>
    <n v="13"/>
    <x v="1"/>
    <n v="16"/>
    <x v="3"/>
    <n v="11"/>
    <x v="2"/>
    <n v="8"/>
    <x v="0"/>
    <x v="5"/>
  </r>
  <r>
    <x v="0"/>
    <n v="91"/>
    <x v="0"/>
    <x v="71"/>
    <d v="2022-06-07T00:00:00"/>
    <n v="52"/>
    <n v="54"/>
    <n v="77"/>
    <n v="4.4000000000000004"/>
    <n v="59"/>
    <x v="32"/>
    <n v="16"/>
    <x v="0"/>
    <n v="7"/>
    <x v="0"/>
    <n v="15"/>
    <x v="0"/>
    <n v="22"/>
    <x v="0"/>
    <x v="5"/>
  </r>
  <r>
    <x v="0"/>
    <n v="91"/>
    <x v="1"/>
    <x v="72"/>
    <d v="2022-06-08T00:00:00"/>
    <n v="27"/>
    <n v="56"/>
    <n v="70"/>
    <n v="3.8"/>
    <n v="58"/>
    <x v="33"/>
    <n v="14"/>
    <x v="0"/>
    <n v="6"/>
    <x v="0"/>
    <n v="14"/>
    <x v="0"/>
    <n v="21"/>
    <x v="0"/>
    <x v="5"/>
  </r>
  <r>
    <x v="0"/>
    <n v="91"/>
    <x v="2"/>
    <x v="73"/>
    <d v="2022-06-09T00:00:00"/>
    <n v="12"/>
    <n v="58"/>
    <n v="65"/>
    <n v="3.4"/>
    <n v="5"/>
    <x v="38"/>
    <n v="13"/>
    <x v="0"/>
    <n v="5.5"/>
    <x v="0"/>
    <n v="12"/>
    <x v="0"/>
    <n v="19"/>
    <x v="0"/>
    <x v="5"/>
  </r>
  <r>
    <x v="1"/>
    <n v="44"/>
    <x v="0"/>
    <x v="31"/>
    <d v="2022-06-10T00:00:00"/>
    <n v="45"/>
    <n v="89"/>
    <n v="45"/>
    <n v="3.2"/>
    <n v="45"/>
    <x v="13"/>
    <n v="17"/>
    <x v="1"/>
    <n v="26"/>
    <x v="0"/>
    <n v="7"/>
    <x v="1"/>
    <n v="7"/>
    <x v="0"/>
    <x v="5"/>
  </r>
  <r>
    <x v="1"/>
    <n v="44"/>
    <x v="1"/>
    <x v="74"/>
    <d v="2022-06-11T00:00:00"/>
    <n v="38"/>
    <n v="85"/>
    <n v="40"/>
    <n v="2.9"/>
    <n v="44"/>
    <x v="14"/>
    <n v="16"/>
    <x v="1"/>
    <n v="25"/>
    <x v="0"/>
    <n v="6.5"/>
    <x v="1"/>
    <n v="6.5"/>
    <x v="0"/>
    <x v="5"/>
  </r>
  <r>
    <x v="1"/>
    <n v="44"/>
    <x v="2"/>
    <x v="60"/>
    <d v="2022-06-12T00:00:00"/>
    <n v="25"/>
    <n v="83"/>
    <n v="35"/>
    <n v="3"/>
    <n v="43"/>
    <x v="37"/>
    <n v="15"/>
    <x v="1"/>
    <n v="23"/>
    <x v="0"/>
    <n v="7"/>
    <x v="1"/>
    <n v="5"/>
    <x v="0"/>
    <x v="5"/>
  </r>
  <r>
    <x v="2"/>
    <n v="26"/>
    <x v="0"/>
    <x v="5"/>
    <d v="2022-06-13T00:00:00"/>
    <n v="10"/>
    <n v="5.5"/>
    <n v="76"/>
    <n v="3.5"/>
    <n v="48"/>
    <x v="2"/>
    <n v="6.5"/>
    <x v="2"/>
    <n v="22"/>
    <x v="0"/>
    <n v="15"/>
    <x v="0"/>
    <n v="12"/>
    <x v="0"/>
    <x v="5"/>
  </r>
  <r>
    <x v="2"/>
    <n v="26"/>
    <x v="1"/>
    <x v="44"/>
    <d v="2022-06-14T00:00:00"/>
    <n v="12"/>
    <n v="6"/>
    <n v="75"/>
    <n v="3.1"/>
    <n v="45"/>
    <x v="3"/>
    <n v="5"/>
    <x v="2"/>
    <n v="21"/>
    <x v="0"/>
    <n v="14"/>
    <x v="0"/>
    <n v="11"/>
    <x v="0"/>
    <x v="5"/>
  </r>
  <r>
    <x v="2"/>
    <n v="26"/>
    <x v="2"/>
    <x v="8"/>
    <d v="2022-06-15T00:00:00"/>
    <n v="8"/>
    <n v="6.5"/>
    <n v="70"/>
    <n v="3"/>
    <n v="42"/>
    <x v="0"/>
    <n v="4.5"/>
    <x v="2"/>
    <n v="20"/>
    <x v="0"/>
    <n v="12"/>
    <x v="0"/>
    <n v="10"/>
    <x v="0"/>
    <x v="5"/>
  </r>
  <r>
    <x v="0"/>
    <n v="91"/>
    <x v="0"/>
    <x v="40"/>
    <d v="2022-06-16T00:00:00"/>
    <n v="47"/>
    <n v="54.88"/>
    <n v="77"/>
    <n v="4.4000000000000004"/>
    <n v="61.5"/>
    <x v="19"/>
    <n v="17.100000000000001"/>
    <x v="0"/>
    <n v="6.2"/>
    <x v="0"/>
    <n v="17.399999999999999"/>
    <x v="0"/>
    <n v="22.2"/>
    <x v="0"/>
    <x v="5"/>
  </r>
  <r>
    <x v="1"/>
    <n v="44"/>
    <x v="1"/>
    <x v="75"/>
    <d v="2022-06-17T00:00:00"/>
    <n v="44"/>
    <n v="91.47"/>
    <n v="49"/>
    <n v="2.7"/>
    <n v="47.8"/>
    <x v="28"/>
    <n v="18"/>
    <x v="1"/>
    <n v="27.5"/>
    <x v="0"/>
    <n v="8.1"/>
    <x v="1"/>
    <n v="6.9"/>
    <x v="0"/>
    <x v="5"/>
  </r>
  <r>
    <x v="2"/>
    <n v="26"/>
    <x v="0"/>
    <x v="76"/>
    <d v="2022-06-18T00:00:00"/>
    <n v="8"/>
    <n v="6.04"/>
    <n v="78"/>
    <n v="3.2"/>
    <n v="48.7"/>
    <x v="40"/>
    <n v="5.8"/>
    <x v="2"/>
    <n v="23.6"/>
    <x v="0"/>
    <n v="18.399999999999999"/>
    <x v="0"/>
    <n v="11.6"/>
    <x v="0"/>
    <x v="5"/>
  </r>
  <r>
    <x v="3"/>
    <n v="68"/>
    <x v="1"/>
    <x v="77"/>
    <d v="2022-06-19T00:00:00"/>
    <n v="11"/>
    <n v="90"/>
    <n v="54"/>
    <n v="3.3"/>
    <n v="7.8"/>
    <x v="41"/>
    <n v="11"/>
    <x v="0"/>
    <n v="5.3"/>
    <x v="1"/>
    <n v="20.5"/>
    <x v="1"/>
    <n v="19.5"/>
    <x v="0"/>
    <x v="5"/>
  </r>
  <r>
    <x v="4"/>
    <n v="14"/>
    <x v="1"/>
    <x v="57"/>
    <d v="2022-06-20T00:00:00"/>
    <n v="14"/>
    <n v="70.63"/>
    <n v="41"/>
    <n v="3.9"/>
    <n v="59.4"/>
    <x v="42"/>
    <n v="15.6"/>
    <x v="2"/>
    <n v="23.7"/>
    <x v="2"/>
    <n v="15.6"/>
    <x v="1"/>
    <n v="15.1"/>
    <x v="0"/>
    <x v="5"/>
  </r>
  <r>
    <x v="0"/>
    <n v="91"/>
    <x v="0"/>
    <x v="78"/>
    <d v="2022-06-21T00:00:00"/>
    <n v="52"/>
    <n v="54"/>
    <n v="77"/>
    <n v="4.5999999999999996"/>
    <n v="58"/>
    <x v="32"/>
    <n v="17"/>
    <x v="0"/>
    <n v="8"/>
    <x v="0"/>
    <n v="16"/>
    <x v="0"/>
    <n v="23"/>
    <x v="0"/>
    <x v="5"/>
  </r>
  <r>
    <x v="1"/>
    <n v="44"/>
    <x v="0"/>
    <x v="50"/>
    <d v="2022-06-22T00:00:00"/>
    <n v="45"/>
    <n v="89"/>
    <n v="47"/>
    <n v="3.3"/>
    <n v="45"/>
    <x v="21"/>
    <n v="18"/>
    <x v="1"/>
    <n v="27.5"/>
    <x v="0"/>
    <n v="9.5"/>
    <x v="1"/>
    <n v="8.5"/>
    <x v="0"/>
    <x v="5"/>
  </r>
  <r>
    <x v="2"/>
    <n v="26"/>
    <x v="1"/>
    <x v="79"/>
    <d v="2022-06-23T00:00:00"/>
    <n v="10"/>
    <n v="5.5"/>
    <n v="76"/>
    <n v="3.5"/>
    <n v="48"/>
    <x v="2"/>
    <n v="6.5"/>
    <x v="2"/>
    <n v="22"/>
    <x v="0"/>
    <n v="15"/>
    <x v="0"/>
    <n v="12"/>
    <x v="0"/>
    <x v="5"/>
  </r>
  <r>
    <x v="5"/>
    <n v="33"/>
    <x v="0"/>
    <x v="58"/>
    <d v="2022-06-24T00:00:00"/>
    <n v="20"/>
    <n v="63"/>
    <n v="77"/>
    <n v="4.3"/>
    <n v="53"/>
    <x v="29"/>
    <n v="15"/>
    <x v="1"/>
    <n v="19"/>
    <x v="3"/>
    <n v="14"/>
    <x v="2"/>
    <n v="11"/>
    <x v="0"/>
    <x v="5"/>
  </r>
  <r>
    <x v="5"/>
    <n v="33"/>
    <x v="1"/>
    <x v="10"/>
    <d v="2022-06-25T00:00:00"/>
    <n v="15"/>
    <n v="59"/>
    <n v="78"/>
    <n v="3.9"/>
    <n v="51"/>
    <x v="31"/>
    <n v="14"/>
    <x v="1"/>
    <n v="18"/>
    <x v="3"/>
    <n v="13"/>
    <x v="2"/>
    <n v="10"/>
    <x v="0"/>
    <x v="5"/>
  </r>
  <r>
    <x v="5"/>
    <n v="33"/>
    <x v="2"/>
    <x v="70"/>
    <d v="2022-06-26T00:00:00"/>
    <n v="10"/>
    <n v="58"/>
    <n v="79"/>
    <n v="3.6"/>
    <n v="48"/>
    <x v="36"/>
    <n v="13"/>
    <x v="1"/>
    <n v="16"/>
    <x v="3"/>
    <n v="11"/>
    <x v="2"/>
    <n v="8"/>
    <x v="0"/>
    <x v="5"/>
  </r>
  <r>
    <x v="4"/>
    <n v="14"/>
    <x v="0"/>
    <x v="80"/>
    <d v="2022-06-27T00:00:00"/>
    <n v="17"/>
    <n v="72"/>
    <n v="42"/>
    <n v="4"/>
    <n v="60"/>
    <x v="43"/>
    <n v="14.5"/>
    <x v="2"/>
    <n v="21"/>
    <x v="2"/>
    <n v="16"/>
    <x v="1"/>
    <n v="15.5"/>
    <x v="0"/>
    <x v="5"/>
  </r>
  <r>
    <x v="4"/>
    <n v="14"/>
    <x v="1"/>
    <x v="69"/>
    <d v="2022-06-28T00:00:00"/>
    <n v="10"/>
    <n v="67"/>
    <n v="27"/>
    <n v="3.5"/>
    <n v="56"/>
    <x v="30"/>
    <n v="12.5"/>
    <x v="2"/>
    <n v="20.5"/>
    <x v="2"/>
    <n v="14"/>
    <x v="1"/>
    <n v="13"/>
    <x v="0"/>
    <x v="5"/>
  </r>
  <r>
    <x v="4"/>
    <n v="14"/>
    <x v="2"/>
    <x v="70"/>
    <d v="2022-06-29T00:00:00"/>
    <n v="9"/>
    <n v="66"/>
    <n v="25"/>
    <n v="3.4"/>
    <n v="54"/>
    <x v="39"/>
    <n v="12"/>
    <x v="2"/>
    <n v="19"/>
    <x v="2"/>
    <n v="13"/>
    <x v="1"/>
    <n v="12"/>
    <x v="0"/>
    <x v="5"/>
  </r>
  <r>
    <x v="3"/>
    <n v="68"/>
    <x v="0"/>
    <x v="81"/>
    <d v="2022-06-30T00:00:00"/>
    <n v="15"/>
    <n v="91.5"/>
    <n v="57"/>
    <n v="3.7"/>
    <n v="6"/>
    <x v="41"/>
    <n v="12"/>
    <x v="0"/>
    <n v="5.5"/>
    <x v="1"/>
    <n v="20"/>
    <x v="1"/>
    <n v="18.5"/>
    <x v="0"/>
    <x v="5"/>
  </r>
  <r>
    <x v="3"/>
    <n v="68"/>
    <x v="1"/>
    <x v="7"/>
    <d v="2022-07-01T00:00:00"/>
    <n v="12"/>
    <n v="89"/>
    <n v="53"/>
    <n v="3.1"/>
    <m/>
    <x v="44"/>
    <n v="11.5"/>
    <x v="0"/>
    <n v="4.5"/>
    <x v="1"/>
    <n v="18"/>
    <x v="1"/>
    <n v="17"/>
    <x v="0"/>
    <x v="6"/>
  </r>
  <r>
    <x v="3"/>
    <n v="68"/>
    <x v="2"/>
    <x v="55"/>
    <d v="2022-07-02T00:00:00"/>
    <n v="10"/>
    <n v="88"/>
    <n v="45"/>
    <n v="2.9"/>
    <n v="64"/>
    <x v="24"/>
    <n v="10"/>
    <x v="0"/>
    <n v="4"/>
    <x v="1"/>
    <n v="16.5"/>
    <x v="1"/>
    <n v="15"/>
    <x v="0"/>
    <x v="6"/>
  </r>
  <r>
    <x v="0"/>
    <n v="91"/>
    <x v="0"/>
    <x v="58"/>
    <d v="2022-07-03T00:00:00"/>
    <n v="9"/>
    <n v="5.5"/>
    <n v="76"/>
    <n v="3.5"/>
    <n v="48"/>
    <x v="2"/>
    <n v="6.5"/>
    <x v="2"/>
    <n v="22"/>
    <x v="0"/>
    <n v="15"/>
    <x v="0"/>
    <n v="12"/>
    <x v="0"/>
    <x v="6"/>
  </r>
  <r>
    <x v="2"/>
    <n v="26"/>
    <x v="1"/>
    <x v="7"/>
    <d v="2022-07-04T00:00:00"/>
    <n v="12"/>
    <n v="6"/>
    <n v="75"/>
    <n v="3.1"/>
    <n v="45"/>
    <x v="3"/>
    <n v="5"/>
    <x v="2"/>
    <n v="21"/>
    <x v="0"/>
    <n v="14"/>
    <x v="0"/>
    <n v="11"/>
    <x v="0"/>
    <x v="6"/>
  </r>
  <r>
    <x v="2"/>
    <n v="26"/>
    <x v="2"/>
    <x v="33"/>
    <d v="2022-07-05T00:00:00"/>
    <n v="8"/>
    <n v="6.5"/>
    <n v="70"/>
    <n v="3"/>
    <n v="42"/>
    <x v="0"/>
    <n v="4.5"/>
    <x v="2"/>
    <n v="20"/>
    <x v="0"/>
    <n v="12"/>
    <x v="1"/>
    <n v="23"/>
    <x v="0"/>
    <x v="6"/>
  </r>
  <r>
    <x v="0"/>
    <n v="91"/>
    <x v="0"/>
    <x v="82"/>
    <d v="2022-07-06T00:00:00"/>
    <n v="53"/>
    <n v="54"/>
    <n v="77"/>
    <n v="4.5999999999999996"/>
    <n v="58"/>
    <x v="32"/>
    <n v="17"/>
    <x v="0"/>
    <n v="8"/>
    <x v="0"/>
    <n v="16"/>
    <x v="0"/>
    <n v="23"/>
    <x v="0"/>
    <x v="6"/>
  </r>
  <r>
    <x v="0"/>
    <n v="91"/>
    <x v="1"/>
    <x v="45"/>
    <d v="2022-07-07T00:00:00"/>
    <n v="30"/>
    <n v="56"/>
    <n v="72"/>
    <n v="3.9"/>
    <n v="57"/>
    <x v="30"/>
    <n v="15.5"/>
    <x v="0"/>
    <n v="7.5"/>
    <x v="0"/>
    <n v="15"/>
    <x v="0"/>
    <n v="21.5"/>
    <x v="0"/>
    <x v="6"/>
  </r>
  <r>
    <x v="0"/>
    <n v="91"/>
    <x v="2"/>
    <x v="52"/>
    <d v="2022-07-08T00:00:00"/>
    <n v="12"/>
    <n v="58"/>
    <n v="67"/>
    <n v="3.3"/>
    <n v="15"/>
    <x v="45"/>
    <n v="14"/>
    <x v="0"/>
    <n v="6"/>
    <x v="0"/>
    <n v="13.5"/>
    <x v="0"/>
    <n v="20"/>
    <x v="0"/>
    <x v="6"/>
  </r>
  <r>
    <x v="1"/>
    <n v="44"/>
    <x v="0"/>
    <x v="29"/>
    <d v="2022-07-09T00:00:00"/>
    <n v="47"/>
    <n v="90"/>
    <n v="47"/>
    <n v="3.3"/>
    <n v="45"/>
    <x v="21"/>
    <n v="18"/>
    <x v="1"/>
    <n v="27.5"/>
    <x v="0"/>
    <n v="9.5"/>
    <x v="1"/>
    <n v="8.5"/>
    <x v="0"/>
    <x v="6"/>
  </r>
  <r>
    <x v="1"/>
    <n v="44"/>
    <x v="1"/>
    <x v="47"/>
    <d v="2022-07-10T00:00:00"/>
    <n v="39"/>
    <n v="87"/>
    <n v="41"/>
    <n v="3"/>
    <n v="44"/>
    <x v="14"/>
    <n v="17"/>
    <x v="1"/>
    <n v="26"/>
    <x v="0"/>
    <n v="8"/>
    <x v="1"/>
    <n v="7.5"/>
    <x v="0"/>
    <x v="6"/>
  </r>
  <r>
    <x v="1"/>
    <n v="44"/>
    <x v="2"/>
    <x v="44"/>
    <d v="2022-07-11T00:00:00"/>
    <n v="25"/>
    <n v="85"/>
    <n v="35"/>
    <n v="3"/>
    <n v="43"/>
    <x v="37"/>
    <n v="16.5"/>
    <x v="1"/>
    <n v="25"/>
    <x v="0"/>
    <n v="7"/>
    <x v="1"/>
    <n v="6"/>
    <x v="0"/>
    <x v="6"/>
  </r>
  <r>
    <x v="2"/>
    <n v="26"/>
    <x v="0"/>
    <x v="5"/>
    <d v="2022-07-12T00:00:00"/>
    <n v="10"/>
    <n v="5.5"/>
    <n v="76"/>
    <n v="3.5"/>
    <n v="48"/>
    <x v="2"/>
    <n v="6.5"/>
    <x v="2"/>
    <n v="22"/>
    <x v="0"/>
    <n v="15"/>
    <x v="0"/>
    <n v="12"/>
    <x v="0"/>
    <x v="6"/>
  </r>
  <r>
    <x v="2"/>
    <n v="26"/>
    <x v="1"/>
    <x v="14"/>
    <d v="2022-07-13T00:00:00"/>
    <n v="12"/>
    <n v="6"/>
    <n v="75"/>
    <n v="3.1"/>
    <n v="45"/>
    <x v="3"/>
    <n v="6"/>
    <x v="2"/>
    <n v="21"/>
    <x v="0"/>
    <n v="14"/>
    <x v="0"/>
    <n v="11"/>
    <x v="0"/>
    <x v="6"/>
  </r>
  <r>
    <x v="2"/>
    <n v="26"/>
    <x v="2"/>
    <x v="83"/>
    <d v="2022-07-14T00:00:00"/>
    <n v="8"/>
    <n v="6.5"/>
    <n v="70"/>
    <n v="3"/>
    <n v="42"/>
    <x v="0"/>
    <n v="5.5"/>
    <x v="2"/>
    <n v="20"/>
    <x v="0"/>
    <n v="12"/>
    <x v="0"/>
    <n v="10"/>
    <x v="0"/>
    <x v="6"/>
  </r>
  <r>
    <x v="3"/>
    <n v="68"/>
    <x v="0"/>
    <x v="75"/>
    <d v="2022-07-15T00:00:00"/>
    <n v="15"/>
    <n v="91.5"/>
    <n v="57"/>
    <n v="3.7"/>
    <n v="7"/>
    <x v="41"/>
    <n v="12"/>
    <x v="0"/>
    <n v="5.5"/>
    <x v="1"/>
    <n v="20"/>
    <x v="1"/>
    <n v="18.5"/>
    <x v="0"/>
    <x v="6"/>
  </r>
  <r>
    <x v="3"/>
    <n v="68"/>
    <x v="1"/>
    <x v="7"/>
    <d v="2022-07-16T00:00:00"/>
    <n v="12"/>
    <n v="89"/>
    <n v="53"/>
    <n v="3.1"/>
    <n v="66"/>
    <x v="44"/>
    <n v="11.5"/>
    <x v="0"/>
    <n v="4.5"/>
    <x v="1"/>
    <n v="18"/>
    <x v="1"/>
    <n v="17"/>
    <x v="0"/>
    <x v="6"/>
  </r>
  <r>
    <x v="3"/>
    <n v="68"/>
    <x v="2"/>
    <x v="71"/>
    <d v="2022-07-17T00:00:00"/>
    <n v="10"/>
    <n v="88"/>
    <n v="45"/>
    <n v="2.9"/>
    <n v="64"/>
    <x v="24"/>
    <n v="10"/>
    <x v="0"/>
    <n v="4"/>
    <x v="1"/>
    <n v="16.5"/>
    <x v="1"/>
    <n v="15"/>
    <x v="0"/>
    <x v="6"/>
  </r>
  <r>
    <x v="4"/>
    <n v="14"/>
    <x v="0"/>
    <x v="60"/>
    <d v="2022-07-18T00:00:00"/>
    <n v="18"/>
    <n v="72"/>
    <n v="42"/>
    <n v="4"/>
    <n v="60"/>
    <x v="43"/>
    <n v="14.5"/>
    <x v="2"/>
    <n v="21"/>
    <x v="2"/>
    <n v="16"/>
    <x v="1"/>
    <n v="15.5"/>
    <x v="0"/>
    <x v="6"/>
  </r>
  <r>
    <x v="4"/>
    <n v="14"/>
    <x v="1"/>
    <x v="84"/>
    <d v="2022-07-19T00:00:00"/>
    <n v="10"/>
    <n v="67"/>
    <n v="27"/>
    <n v="3.5"/>
    <n v="56"/>
    <x v="30"/>
    <n v="12.5"/>
    <x v="2"/>
    <n v="20.5"/>
    <x v="2"/>
    <n v="14"/>
    <x v="1"/>
    <n v="13"/>
    <x v="0"/>
    <x v="6"/>
  </r>
  <r>
    <x v="4"/>
    <n v="14"/>
    <x v="2"/>
    <x v="85"/>
    <d v="2022-07-20T00:00:00"/>
    <n v="9"/>
    <n v="66"/>
    <n v="25"/>
    <n v="3.4"/>
    <n v="54"/>
    <x v="39"/>
    <n v="12"/>
    <x v="2"/>
    <n v="19"/>
    <x v="2"/>
    <n v="13"/>
    <x v="1"/>
    <n v="12"/>
    <x v="0"/>
    <x v="6"/>
  </r>
  <r>
    <x v="1"/>
    <n v="44"/>
    <x v="1"/>
    <x v="5"/>
    <d v="2022-07-21T00:00:00"/>
    <n v="32"/>
    <n v="85.3"/>
    <n v="35"/>
    <n v="2.5"/>
    <n v="45"/>
    <x v="5"/>
    <n v="17.5"/>
    <x v="1"/>
    <n v="26"/>
    <x v="0"/>
    <n v="7.5"/>
    <x v="1"/>
    <n v="6.3"/>
    <x v="0"/>
    <x v="6"/>
  </r>
  <r>
    <x v="2"/>
    <n v="26"/>
    <x v="2"/>
    <x v="73"/>
    <d v="2022-07-22T00:00:00"/>
    <n v="8"/>
    <n v="6.5"/>
    <n v="70"/>
    <n v="3"/>
    <n v="42"/>
    <x v="0"/>
    <n v="5.5"/>
    <x v="2"/>
    <n v="20"/>
    <x v="0"/>
    <n v="12"/>
    <x v="0"/>
    <n v="10"/>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8FCB1-0243-4114-BE8A-422389EACE3F}"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D14:AE19"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8">
        <item x="0"/>
        <item x="1"/>
        <item x="2"/>
        <item x="3"/>
        <item x="4"/>
        <item x="5"/>
        <item x="6"/>
        <item t="default"/>
      </items>
    </pivotField>
  </pivotFields>
  <rowFields count="1">
    <field x="14"/>
  </rowFields>
  <rowItems count="5">
    <i>
      <x v="2"/>
    </i>
    <i>
      <x v="1"/>
    </i>
    <i>
      <x v="3"/>
    </i>
    <i>
      <x/>
    </i>
    <i t="grand">
      <x/>
    </i>
  </rowItems>
  <colItems count="1">
    <i/>
  </colItems>
  <dataFields count="1">
    <dataField name="Average of Conversion % (Channel)" fld="13" subtotal="average" baseField="14" baseItem="0"/>
  </dataFields>
  <formats count="1">
    <format dxfId="1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FA8E29-B44B-48DD-8B02-D7AD09C6D57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1:G68"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Goal Conversion Rat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30739-68A8-4BAB-992E-1183D63BCBB8}"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4:H21" firstHeaderRow="0" firstDataRow="1" firstDataCol="1"/>
  <pivotFields count="20">
    <pivotField axis="axisRow" showAll="0">
      <items count="7">
        <item x="3"/>
        <item x="1"/>
        <item x="5"/>
        <item x="2"/>
        <item x="4"/>
        <item x="0"/>
        <item t="default"/>
      </items>
    </pivotField>
    <pivotField showAll="0"/>
    <pivotField showAll="0"/>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items count="8">
        <item x="0"/>
        <item x="1"/>
        <item x="2"/>
        <item x="3"/>
        <item x="4"/>
        <item x="5"/>
        <item x="6"/>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Visitor Count" fld="3" baseField="0" baseItem="0"/>
    <dataField name="Sum of Visitor Count2" fld="3" showDataAs="percentOfTotal" baseField="0" baseItem="4" numFmtId="9"/>
  </dataFields>
  <formats count="2">
    <format dxfId="188">
      <pivotArea collapsedLevelsAreSubtotals="1" fieldPosition="0">
        <references count="2">
          <reference field="4294967294" count="1" selected="0">
            <x v="1"/>
          </reference>
          <reference field="0" count="1">
            <x v="0"/>
          </reference>
        </references>
      </pivotArea>
    </format>
    <format dxfId="18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42842E-8332-4AF7-84F8-C605652C40C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33"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Average of Avg. Session Duration (sec)"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2DD849-BEEE-490C-AB64-1CC775B3FBF8}"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A14:AB18"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dataField="1" showAll="0"/>
    <pivotField axis="axisRow" showAll="0">
      <items count="4">
        <item x="1"/>
        <item x="2"/>
        <item x="0"/>
        <item t="default"/>
      </items>
    </pivotField>
    <pivotField showAll="0"/>
    <pivotField showAll="0"/>
    <pivotField showAll="0"/>
    <pivotField showAll="0"/>
    <pivotField showAll="0"/>
    <pivotField showAll="0"/>
    <pivotField showAll="0">
      <items count="8">
        <item x="0"/>
        <item x="1"/>
        <item x="2"/>
        <item x="3"/>
        <item x="4"/>
        <item x="5"/>
        <item x="6"/>
        <item t="default"/>
      </items>
    </pivotField>
  </pivotFields>
  <rowFields count="1">
    <field x="12"/>
  </rowFields>
  <rowItems count="4">
    <i>
      <x/>
    </i>
    <i>
      <x v="1"/>
    </i>
    <i>
      <x v="2"/>
    </i>
    <i t="grand">
      <x/>
    </i>
  </rowItems>
  <colItems count="1">
    <i/>
  </colItems>
  <dataFields count="1">
    <dataField name="Average of Goal Conversion Rate %" fld="11" subtotal="average" baseField="12" baseItem="0"/>
  </dataFields>
  <formats count="1">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99239D-2727-44B1-9CDC-2847CB87CD9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G56"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Total Page View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5F967A-3081-440B-A317-1B78D97FD439}" name="PivotTable1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L14:AM21" firstHeaderRow="1" firstDataRow="1" firstDataCol="1"/>
  <pivotFields count="20">
    <pivotField axis="axisRow" showAll="0">
      <items count="7">
        <item x="3"/>
        <item x="1"/>
        <item x="5"/>
        <item x="2"/>
        <item x="4"/>
        <item x="0"/>
        <item t="default"/>
      </items>
    </pivotField>
    <pivotField showAll="0"/>
    <pivotField showAll="0">
      <items count="4">
        <item x="2"/>
        <item x="1"/>
        <item x="0"/>
        <item t="default"/>
      </items>
    </pivotField>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items count="47">
        <item x="42"/>
        <item x="14"/>
        <item x="3"/>
        <item x="5"/>
        <item x="25"/>
        <item x="13"/>
        <item x="21"/>
        <item x="2"/>
        <item x="6"/>
        <item x="4"/>
        <item x="15"/>
        <item x="28"/>
        <item x="41"/>
        <item x="40"/>
        <item x="38"/>
        <item x="45"/>
        <item x="34"/>
        <item x="36"/>
        <item x="39"/>
        <item x="27"/>
        <item x="24"/>
        <item x="1"/>
        <item x="12"/>
        <item x="33"/>
        <item x="35"/>
        <item x="30"/>
        <item x="17"/>
        <item x="8"/>
        <item x="20"/>
        <item x="11"/>
        <item x="0"/>
        <item x="23"/>
        <item x="26"/>
        <item x="32"/>
        <item x="10"/>
        <item x="19"/>
        <item x="37"/>
        <item x="31"/>
        <item x="22"/>
        <item x="16"/>
        <item x="18"/>
        <item x="9"/>
        <item x="7"/>
        <item x="29"/>
        <item x="43"/>
        <item x="44"/>
        <item t="default"/>
      </items>
    </pivotField>
    <pivotField showAll="0"/>
    <pivotField showAll="0">
      <items count="4">
        <item x="1"/>
        <item x="2"/>
        <item x="0"/>
        <item t="default"/>
      </items>
    </pivotField>
    <pivotField showAll="0"/>
    <pivotField showAll="0">
      <items count="5">
        <item x="1"/>
        <item x="0"/>
        <item x="2"/>
        <item x="3"/>
        <item t="default"/>
      </items>
    </pivotField>
    <pivotField showAll="0"/>
    <pivotField showAll="0">
      <items count="4">
        <item x="1"/>
        <item x="2"/>
        <item x="0"/>
        <item t="default"/>
      </items>
    </pivotField>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Visitor Count" fld="3" baseField="0" baseItem="0"/>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47E8DF-1306-4E30-B8AC-71D6D0E46796}"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14:N18" firstHeaderRow="0" firstDataRow="1" firstDataCol="1"/>
  <pivotFields count="20">
    <pivotField showAll="0">
      <items count="7">
        <item x="3"/>
        <item x="1"/>
        <item x="5"/>
        <item x="2"/>
        <item x="4"/>
        <item x="0"/>
        <item t="default"/>
      </items>
    </pivotField>
    <pivotField showAll="0"/>
    <pivotField axis="axisRow" showAll="0">
      <items count="4">
        <item x="2"/>
        <item x="1"/>
        <item x="0"/>
        <item t="default"/>
      </items>
    </pivotField>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2"/>
  </rowFields>
  <rowItems count="4">
    <i>
      <x/>
    </i>
    <i>
      <x v="1"/>
    </i>
    <i>
      <x v="2"/>
    </i>
    <i t="grand">
      <x/>
    </i>
  </rowItems>
  <colFields count="1">
    <field x="-2"/>
  </colFields>
  <colItems count="2">
    <i>
      <x/>
    </i>
    <i i="1">
      <x v="1"/>
    </i>
  </colItems>
  <dataFields count="2">
    <dataField name="Sum of Visitor Count" fld="3" baseField="0" baseItem="0"/>
    <dataField name="Sum of Visitor Count2" fld="3" showDataAs="percentOfTotal" baseField="2" baseItem="0" numFmtId="9"/>
  </dataFields>
  <formats count="1">
    <format dxfId="19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7B12E2-4527-46C8-9B39-824106B90777}"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14:T22"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s>
  <rowFields count="1">
    <field x="19"/>
  </rowFields>
  <rowItems count="8">
    <i>
      <x/>
    </i>
    <i>
      <x v="1"/>
    </i>
    <i>
      <x v="2"/>
    </i>
    <i>
      <x v="3"/>
    </i>
    <i>
      <x v="4"/>
    </i>
    <i>
      <x v="5"/>
    </i>
    <i>
      <x v="6"/>
    </i>
    <i t="grand">
      <x/>
    </i>
  </rowItems>
  <colItems count="1">
    <i/>
  </colItems>
  <dataFields count="1">
    <dataField name="Sum of Visitor 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AED153-A066-4052-BA84-AA27FAA0E6D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8:G45"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Average of Pages Per Visi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4D45B3-3100-4A52-8CAD-F21A8368CD96}" name="PivotTable1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H14:AI18"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items count="47">
        <item x="42"/>
        <item x="14"/>
        <item x="3"/>
        <item x="5"/>
        <item x="25"/>
        <item x="13"/>
        <item x="21"/>
        <item x="2"/>
        <item x="6"/>
        <item x="4"/>
        <item x="15"/>
        <item x="28"/>
        <item x="41"/>
        <item x="40"/>
        <item x="38"/>
        <item x="45"/>
        <item x="34"/>
        <item x="36"/>
        <item x="39"/>
        <item x="27"/>
        <item x="24"/>
        <item x="1"/>
        <item x="12"/>
        <item x="33"/>
        <item x="35"/>
        <item x="30"/>
        <item x="17"/>
        <item x="8"/>
        <item x="20"/>
        <item x="11"/>
        <item x="0"/>
        <item x="23"/>
        <item x="26"/>
        <item x="32"/>
        <item x="10"/>
        <item x="19"/>
        <item x="37"/>
        <item x="31"/>
        <item x="22"/>
        <item x="16"/>
        <item x="18"/>
        <item x="9"/>
        <item x="7"/>
        <item x="29"/>
        <item x="43"/>
        <item x="44"/>
        <item t="default"/>
      </items>
    </pivotField>
    <pivotField showAll="0"/>
    <pivotField showAll="0">
      <items count="4">
        <item x="1"/>
        <item x="2"/>
        <item x="0"/>
        <item t="default"/>
      </items>
    </pivotField>
    <pivotField dataField="1" showAll="0"/>
    <pivotField showAll="0">
      <items count="5">
        <item x="1"/>
        <item x="0"/>
        <item x="2"/>
        <item x="3"/>
        <item t="default"/>
      </items>
    </pivotField>
    <pivotField showAll="0"/>
    <pivotField axis="axisRow" showAll="0">
      <items count="4">
        <item x="1"/>
        <item x="2"/>
        <item x="0"/>
        <item t="default"/>
      </items>
    </pivotField>
    <pivotField showAll="0"/>
    <pivotField showAll="0"/>
    <pivotField showAll="0">
      <items count="8">
        <item x="0"/>
        <item x="1"/>
        <item x="2"/>
        <item x="3"/>
        <item x="4"/>
        <item x="5"/>
        <item x="6"/>
        <item t="default"/>
      </items>
    </pivotField>
  </pivotFields>
  <rowFields count="1">
    <field x="16"/>
  </rowFields>
  <rowItems count="4">
    <i>
      <x/>
    </i>
    <i>
      <x v="1"/>
    </i>
    <i>
      <x v="2"/>
    </i>
    <i t="grand">
      <x/>
    </i>
  </rowItems>
  <colItems count="1">
    <i/>
  </colItems>
  <dataFields count="1">
    <dataField name="Average of Conversion % (Channel)" fld="13" subtotal="average" baseField="14" baseItem="0"/>
  </dataFields>
  <formats count="1">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E70CC5-3F98-45DC-A4AC-F16D4BB26B81}"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14:X22"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s>
  <rowFields count="1">
    <field x="19"/>
  </rowFields>
  <rowItems count="8">
    <i>
      <x/>
    </i>
    <i>
      <x v="1"/>
    </i>
    <i>
      <x v="2"/>
    </i>
    <i>
      <x v="3"/>
    </i>
    <i>
      <x v="4"/>
    </i>
    <i>
      <x v="5"/>
    </i>
    <i>
      <x v="6"/>
    </i>
    <i t="grand">
      <x/>
    </i>
  </rowItems>
  <colItems count="1">
    <i/>
  </colItems>
  <dataFields count="1">
    <dataField name="Sum of Bounce Rate %" fld="6" baseField="0" baseItem="0" numFmtId="1"/>
  </dataFields>
  <formats count="1">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C6DBBC-8820-4BAB-A4F1-D6A33012F561}"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20:X28"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s>
  <rowFields count="1">
    <field x="19"/>
  </rowFields>
  <rowItems count="8">
    <i>
      <x/>
    </i>
    <i>
      <x v="1"/>
    </i>
    <i>
      <x v="2"/>
    </i>
    <i>
      <x v="3"/>
    </i>
    <i>
      <x v="4"/>
    </i>
    <i>
      <x v="5"/>
    </i>
    <i>
      <x v="6"/>
    </i>
    <i t="grand">
      <x/>
    </i>
  </rowItems>
  <colItems count="1">
    <i/>
  </colItems>
  <dataFields count="1">
    <dataField name="Sum of Bounce Rate %" fld="6" baseField="0" baseItem="0" numFmtId="1"/>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6F3937-14EE-41ED-8DF2-01010E38713F}" name="PivotTable1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20:N24" firstHeaderRow="0" firstDataRow="1" firstDataCol="1"/>
  <pivotFields count="20">
    <pivotField showAll="0">
      <items count="7">
        <item x="3"/>
        <item x="1"/>
        <item x="5"/>
        <item x="2"/>
        <item x="4"/>
        <item x="0"/>
        <item t="default"/>
      </items>
    </pivotField>
    <pivotField showAll="0"/>
    <pivotField axis="axisRow" showAll="0">
      <items count="4">
        <item x="2"/>
        <item x="1"/>
        <item x="0"/>
        <item t="default"/>
      </items>
    </pivotField>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2"/>
  </rowFields>
  <rowItems count="4">
    <i>
      <x/>
    </i>
    <i>
      <x v="1"/>
    </i>
    <i>
      <x v="2"/>
    </i>
    <i t="grand">
      <x/>
    </i>
  </rowItems>
  <colFields count="1">
    <field x="-2"/>
  </colFields>
  <colItems count="2">
    <i>
      <x/>
    </i>
    <i i="1">
      <x v="1"/>
    </i>
  </colItems>
  <dataFields count="2">
    <dataField name="Sum of Visitor Count" fld="3" baseField="0" baseItem="0"/>
    <dataField name="Sum of Visitor Count2" fld="3" showDataAs="percentOfTotal" baseField="2" baseItem="0" numFmtId="9"/>
  </dataFields>
  <formats count="1">
    <format dxfId="17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D1BE73-BA25-4A02-A1E6-705D94F498D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7:G74"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Goal Conversion Rat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11112B-6ADE-471D-86B9-97CAFB50C956}" name="PivotTable1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0:H27" firstHeaderRow="0" firstDataRow="1" firstDataCol="1"/>
  <pivotFields count="20">
    <pivotField axis="axisRow" showAll="0">
      <items count="7">
        <item x="3"/>
        <item x="1"/>
        <item x="5"/>
        <item x="2"/>
        <item x="4"/>
        <item x="0"/>
        <item t="default"/>
      </items>
    </pivotField>
    <pivotField showAll="0"/>
    <pivotField showAll="0"/>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Visitor Count" fld="3" baseField="0" baseItem="0"/>
    <dataField name="Sum of Visitor Count2" fld="3" showDataAs="percentOfTotal" baseField="0" baseItem="4" numFmtId="9"/>
  </dataFields>
  <formats count="2">
    <format dxfId="179">
      <pivotArea collapsedLevelsAreSubtotals="1" fieldPosition="0">
        <references count="2">
          <reference field="4294967294" count="1" selected="0">
            <x v="1"/>
          </reference>
          <reference field="0" count="1">
            <x v="0"/>
          </reference>
        </references>
      </pivotArea>
    </format>
    <format dxfId="17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9C8DB9-A942-42E2-BA08-CEE9FE97D99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4:G51"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Average of Pages Per Visi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ECA1330-12BA-4696-9254-62981F029C1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5:G62"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Total Page View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6B3441-0A1F-436D-83E2-2387127F2A1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G39" firstHeaderRow="1" firstDataRow="1" firstDataCol="1"/>
  <pivotFields count="20">
    <pivotField axis="axisRow" showAll="0">
      <items count="7">
        <item x="3"/>
        <item x="1"/>
        <item x="5"/>
        <item x="2"/>
        <item x="4"/>
        <item x="0"/>
        <item t="default"/>
      </items>
    </pivotField>
    <pivotField showAll="0"/>
    <pivotField showAll="0"/>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Average of Avg. Session Duration (sec)"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4F9969C-CFFF-4CBD-9503-AF20A392B286}"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D20:AE25"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8">
        <item x="0"/>
        <item x="1"/>
        <item x="2"/>
        <item x="3"/>
        <item x="4"/>
        <item x="5"/>
        <item x="6"/>
        <item t="default"/>
      </items>
    </pivotField>
  </pivotFields>
  <rowFields count="1">
    <field x="14"/>
  </rowFields>
  <rowItems count="5">
    <i>
      <x v="2"/>
    </i>
    <i>
      <x v="1"/>
    </i>
    <i>
      <x v="3"/>
    </i>
    <i>
      <x/>
    </i>
    <i t="grand">
      <x/>
    </i>
  </rowItems>
  <colItems count="1">
    <i/>
  </colItems>
  <dataFields count="1">
    <dataField name="Average of Conversion % (Channel)" fld="13" subtotal="average" baseField="14" baseItem="0"/>
  </dataFields>
  <formats count="1">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844DA90-10B5-41F8-A5C7-8CA76FD058BD}"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20:T28"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s>
  <rowFields count="1">
    <field x="19"/>
  </rowFields>
  <rowItems count="8">
    <i>
      <x/>
    </i>
    <i>
      <x v="1"/>
    </i>
    <i>
      <x v="2"/>
    </i>
    <i>
      <x v="3"/>
    </i>
    <i>
      <x v="4"/>
    </i>
    <i>
      <x v="5"/>
    </i>
    <i>
      <x v="6"/>
    </i>
    <i t="grand">
      <x/>
    </i>
  </rowItems>
  <colItems count="1">
    <i/>
  </colItems>
  <dataFields count="1">
    <dataField name="Sum of Visitor 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A5196D9-079D-4564-989B-F4CDD960425B}"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L20:AM27" firstHeaderRow="1" firstDataRow="1" firstDataCol="1"/>
  <pivotFields count="20">
    <pivotField axis="axisRow" showAll="0">
      <items count="7">
        <item x="3"/>
        <item x="1"/>
        <item x="5"/>
        <item x="2"/>
        <item x="4"/>
        <item x="0"/>
        <item t="default"/>
      </items>
    </pivotField>
    <pivotField showAll="0"/>
    <pivotField showAll="0">
      <items count="4">
        <item x="2"/>
        <item x="1"/>
        <item x="0"/>
        <item t="default"/>
      </items>
    </pivotField>
    <pivotField dataField="1"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items count="47">
        <item x="42"/>
        <item x="14"/>
        <item x="3"/>
        <item x="5"/>
        <item x="25"/>
        <item x="13"/>
        <item x="21"/>
        <item x="2"/>
        <item x="6"/>
        <item x="4"/>
        <item x="15"/>
        <item x="28"/>
        <item x="41"/>
        <item x="40"/>
        <item x="38"/>
        <item x="45"/>
        <item x="34"/>
        <item x="36"/>
        <item x="39"/>
        <item x="27"/>
        <item x="24"/>
        <item x="1"/>
        <item x="12"/>
        <item x="33"/>
        <item x="35"/>
        <item x="30"/>
        <item x="17"/>
        <item x="8"/>
        <item x="20"/>
        <item x="11"/>
        <item x="0"/>
        <item x="23"/>
        <item x="26"/>
        <item x="32"/>
        <item x="10"/>
        <item x="19"/>
        <item x="37"/>
        <item x="31"/>
        <item x="22"/>
        <item x="16"/>
        <item x="18"/>
        <item x="9"/>
        <item x="7"/>
        <item x="29"/>
        <item x="43"/>
        <item x="44"/>
        <item t="default"/>
      </items>
    </pivotField>
    <pivotField showAll="0"/>
    <pivotField showAll="0">
      <items count="4">
        <item x="1"/>
        <item x="2"/>
        <item x="0"/>
        <item t="default"/>
      </items>
    </pivotField>
    <pivotField showAll="0"/>
    <pivotField showAll="0">
      <items count="5">
        <item x="1"/>
        <item x="0"/>
        <item x="2"/>
        <item x="3"/>
        <item t="default"/>
      </items>
    </pivotField>
    <pivotField showAll="0"/>
    <pivotField showAll="0">
      <items count="4">
        <item x="1"/>
        <item x="2"/>
        <item x="0"/>
        <item t="default"/>
      </items>
    </pivotField>
    <pivotField showAll="0"/>
    <pivotField showAll="0"/>
    <pivotField showAll="0">
      <items count="8">
        <item x="0"/>
        <item x="1"/>
        <item x="2"/>
        <item x="3"/>
        <item x="4"/>
        <item x="5"/>
        <item x="6"/>
        <item t="default"/>
      </items>
    </pivotField>
  </pivotFields>
  <rowFields count="1">
    <field x="0"/>
  </rowFields>
  <rowItems count="7">
    <i>
      <x/>
    </i>
    <i>
      <x v="1"/>
    </i>
    <i>
      <x v="2"/>
    </i>
    <i>
      <x v="3"/>
    </i>
    <i>
      <x v="4"/>
    </i>
    <i>
      <x v="5"/>
    </i>
    <i t="grand">
      <x/>
    </i>
  </rowItems>
  <colItems count="1">
    <i/>
  </colItems>
  <dataFields count="1">
    <dataField name="Sum of Visitor Count" fld="3" baseField="0" baseItem="0"/>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52A57CA-F6DB-4AF1-995A-5E8FA7F6B482}"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A20:AB24"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pivotField dataField="1" showAll="0"/>
    <pivotField axis="axisRow" showAll="0">
      <items count="4">
        <item x="1"/>
        <item x="2"/>
        <item x="0"/>
        <item t="default"/>
      </items>
    </pivotField>
    <pivotField showAll="0"/>
    <pivotField showAll="0"/>
    <pivotField showAll="0"/>
    <pivotField showAll="0"/>
    <pivotField showAll="0"/>
    <pivotField showAll="0"/>
    <pivotField showAll="0">
      <items count="8">
        <item x="0"/>
        <item x="1"/>
        <item x="2"/>
        <item x="3"/>
        <item x="4"/>
        <item x="5"/>
        <item x="6"/>
        <item t="default"/>
      </items>
    </pivotField>
  </pivotFields>
  <rowFields count="1">
    <field x="12"/>
  </rowFields>
  <rowItems count="4">
    <i>
      <x/>
    </i>
    <i>
      <x v="1"/>
    </i>
    <i>
      <x v="2"/>
    </i>
    <i t="grand">
      <x/>
    </i>
  </rowItems>
  <colItems count="1">
    <i/>
  </colItems>
  <dataFields count="1">
    <dataField name="Average of Goal Conversion Rate %" fld="11" subtotal="average" baseField="12" baseItem="0"/>
  </dataFields>
  <formats count="1">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5127CBA-7E23-40C9-B548-983AC6112968}"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H20:AI24"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items count="87">
        <item x="63"/>
        <item x="57"/>
        <item x="49"/>
        <item x="70"/>
        <item x="61"/>
        <item x="42"/>
        <item x="67"/>
        <item x="33"/>
        <item x="35"/>
        <item x="9"/>
        <item x="16"/>
        <item x="43"/>
        <item x="85"/>
        <item x="66"/>
        <item x="84"/>
        <item x="65"/>
        <item x="80"/>
        <item x="60"/>
        <item x="52"/>
        <item x="37"/>
        <item x="19"/>
        <item x="11"/>
        <item x="18"/>
        <item x="7"/>
        <item x="44"/>
        <item x="10"/>
        <item x="14"/>
        <item x="46"/>
        <item x="58"/>
        <item x="5"/>
        <item x="38"/>
        <item x="13"/>
        <item x="3"/>
        <item x="28"/>
        <item x="12"/>
        <item x="31"/>
        <item x="2"/>
        <item x="29"/>
        <item x="24"/>
        <item x="0"/>
        <item x="76"/>
        <item x="56"/>
        <item x="71"/>
        <item x="36"/>
        <item x="82"/>
        <item x="51"/>
        <item x="40"/>
        <item x="53"/>
        <item x="81"/>
        <item x="77"/>
        <item x="75"/>
        <item x="21"/>
        <item x="25"/>
        <item x="72"/>
        <item x="26"/>
        <item x="73"/>
        <item x="32"/>
        <item x="62"/>
        <item x="8"/>
        <item x="55"/>
        <item x="69"/>
        <item x="68"/>
        <item x="83"/>
        <item x="64"/>
        <item x="1"/>
        <item x="59"/>
        <item x="50"/>
        <item x="54"/>
        <item x="39"/>
        <item x="17"/>
        <item x="30"/>
        <item x="74"/>
        <item x="47"/>
        <item x="34"/>
        <item x="15"/>
        <item x="6"/>
        <item x="45"/>
        <item x="78"/>
        <item x="48"/>
        <item x="27"/>
        <item x="79"/>
        <item x="20"/>
        <item x="41"/>
        <item x="22"/>
        <item x="23"/>
        <item x="4"/>
        <item t="default"/>
      </items>
    </pivotField>
    <pivotField numFmtId="14" showAll="0"/>
    <pivotField showAll="0"/>
    <pivotField showAll="0"/>
    <pivotField showAll="0"/>
    <pivotField showAll="0"/>
    <pivotField showAll="0"/>
    <pivotField showAll="0">
      <items count="47">
        <item x="42"/>
        <item x="14"/>
        <item x="3"/>
        <item x="5"/>
        <item x="25"/>
        <item x="13"/>
        <item x="21"/>
        <item x="2"/>
        <item x="6"/>
        <item x="4"/>
        <item x="15"/>
        <item x="28"/>
        <item x="41"/>
        <item x="40"/>
        <item x="38"/>
        <item x="45"/>
        <item x="34"/>
        <item x="36"/>
        <item x="39"/>
        <item x="27"/>
        <item x="24"/>
        <item x="1"/>
        <item x="12"/>
        <item x="33"/>
        <item x="35"/>
        <item x="30"/>
        <item x="17"/>
        <item x="8"/>
        <item x="20"/>
        <item x="11"/>
        <item x="0"/>
        <item x="23"/>
        <item x="26"/>
        <item x="32"/>
        <item x="10"/>
        <item x="19"/>
        <item x="37"/>
        <item x="31"/>
        <item x="22"/>
        <item x="16"/>
        <item x="18"/>
        <item x="9"/>
        <item x="7"/>
        <item x="29"/>
        <item x="43"/>
        <item x="44"/>
        <item t="default"/>
      </items>
    </pivotField>
    <pivotField showAll="0"/>
    <pivotField showAll="0">
      <items count="4">
        <item x="1"/>
        <item x="2"/>
        <item x="0"/>
        <item t="default"/>
      </items>
    </pivotField>
    <pivotField dataField="1" showAll="0"/>
    <pivotField showAll="0">
      <items count="5">
        <item x="1"/>
        <item x="0"/>
        <item x="2"/>
        <item x="3"/>
        <item t="default"/>
      </items>
    </pivotField>
    <pivotField showAll="0"/>
    <pivotField axis="axisRow" showAll="0">
      <items count="4">
        <item x="1"/>
        <item x="2"/>
        <item x="0"/>
        <item t="default"/>
      </items>
    </pivotField>
    <pivotField showAll="0"/>
    <pivotField showAll="0"/>
    <pivotField showAll="0">
      <items count="8">
        <item x="0"/>
        <item x="1"/>
        <item x="2"/>
        <item x="3"/>
        <item x="4"/>
        <item x="5"/>
        <item x="6"/>
        <item t="default"/>
      </items>
    </pivotField>
  </pivotFields>
  <rowFields count="1">
    <field x="16"/>
  </rowFields>
  <rowItems count="4">
    <i>
      <x/>
    </i>
    <i>
      <x v="1"/>
    </i>
    <i>
      <x v="2"/>
    </i>
    <i t="grand">
      <x/>
    </i>
  </rowItems>
  <colItems count="1">
    <i/>
  </colItems>
  <dataFields count="1">
    <dataField name="Average of Conversion % (Channel)" fld="13" subtotal="average" baseField="14" baseItem="0"/>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AE39257-68C1-4558-A554-A733AF69372C}" sourceName="Month">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87464190">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447CD22-9E7A-49D3-BDD7-012188858FDC}" cache="Slicer_Month" caption="Month" startItem="4" columnCount="2"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7A6D9-6B31-4410-8DCD-7B7BE38AA498}" name="Table1" displayName="Table1" ref="A1:T196" totalsRowShown="0">
  <autoFilter ref="A1:T196" xr:uid="{FB47A6D9-6B31-4410-8DCD-7B7BE38AA498}"/>
  <tableColumns count="20">
    <tableColumn id="1" xr3:uid="{BDB771C9-F6A1-40C8-936A-66B958DC4A4C}" name="Traffic Source Type"/>
    <tableColumn id="2" xr3:uid="{24EC3DC3-AEE9-45D6-8600-F23D982F7F41}" name="Traffic Source %"/>
    <tableColumn id="3" xr3:uid="{DFC1A9CF-7FEF-40C8-80F5-4D09DEEAC2E7}" name="Visitor Type"/>
    <tableColumn id="4" xr3:uid="{C48C5884-1E23-481D-A9F7-52AFF0C58D42}" name="Visitor Count"/>
    <tableColumn id="5" xr3:uid="{A86D8407-5949-4FA6-B029-BEF4FC41A154}" name="Visitor Date"/>
    <tableColumn id="6" xr3:uid="{8DD3DE67-D146-4264-95C0-3F64507548CE}" name="Visits (in thousands)"/>
    <tableColumn id="7" xr3:uid="{3B8924AB-7FC9-4CA6-93DB-D6509481BE09}" name="Bounce Rate %"/>
    <tableColumn id="8" xr3:uid="{140DA58B-5426-4F1B-9287-6BCD146034D7}" name="Avg. Session Duration (sec)"/>
    <tableColumn id="9" xr3:uid="{097CB97D-7F96-458D-B92D-9B4FC88F41C9}" name="Pages Per Visit"/>
    <tableColumn id="10" xr3:uid="{EC568735-FD8D-4F04-8D2A-A6338A24EE44}" name="Bounce Rate"/>
    <tableColumn id="11" xr3:uid="{88A1CA78-FDB0-4490-A4AC-D7174E074327}" name="Total Page Views"/>
    <tableColumn id="12" xr3:uid="{3249A2DE-5C55-4021-BDC9-88074D0CCE51}" name="Goal Conversion Rate %"/>
    <tableColumn id="13" xr3:uid="{23DBF6E4-D7C4-4E42-A0A4-ADF80022B95A}" name="Channel"/>
    <tableColumn id="14" xr3:uid="{08000980-294D-4E31-A573-B7B5D90BD78F}" name="Conversion % (Channel)"/>
    <tableColumn id="15" xr3:uid="{B33DD103-4BE3-4D0B-A405-542EC2D2610F}" name="Campaign Name"/>
    <tableColumn id="16" xr3:uid="{FB83F768-A554-4FA3-9D61-1B29A999CB01}" name="Conversion % (Campaign)"/>
    <tableColumn id="17" xr3:uid="{855DDDD2-0676-4946-A54E-FF4EF17A292F}" name="Page Name"/>
    <tableColumn id="18" xr3:uid="{7524DC43-A413-49FC-944D-F6CEFC436EDD}" name="Conversion % (Page)"/>
    <tableColumn id="19" xr3:uid="{146FAFC7-BF82-4400-B7F3-45F43E8568C0}" name="Year" dataDxfId="185">
      <calculatedColumnFormula>YEAR(Table1[[#This Row],[Visitor Date]])</calculatedColumnFormula>
    </tableColumn>
    <tableColumn id="20" xr3:uid="{74FB2DB8-C9C8-420C-AA61-99C19F7838C9}" name="Month" dataDxfId="184">
      <calculatedColumnFormula>TEXT(Table1[[#This Row],[Visitor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11102-4321-43F4-B3DB-F260C99C40A2}">
  <dimension ref="A3:AU68"/>
  <sheetViews>
    <sheetView zoomScale="115" zoomScaleNormal="115" workbookViewId="0">
      <selection activeCell="C15" sqref="C15"/>
    </sheetView>
  </sheetViews>
  <sheetFormatPr defaultRowHeight="14.5" x14ac:dyDescent="0.35"/>
  <cols>
    <col min="1" max="1" width="17.81640625" bestFit="1" customWidth="1"/>
    <col min="6" max="6" width="12.453125" bestFit="1" customWidth="1"/>
    <col min="7" max="7" width="27.08984375" bestFit="1" customWidth="1"/>
    <col min="8" max="8" width="8.54296875" customWidth="1"/>
    <col min="9" max="9" width="10.54296875" customWidth="1"/>
    <col min="10" max="11" width="2.81640625" bestFit="1" customWidth="1"/>
    <col min="12" max="12" width="12.453125" bestFit="1" customWidth="1"/>
    <col min="13" max="13" width="8.54296875" customWidth="1"/>
    <col min="14" max="14" width="9.1796875" customWidth="1"/>
    <col min="15" max="18" width="2.81640625" bestFit="1" customWidth="1"/>
    <col min="19" max="19" width="12.453125" bestFit="1" customWidth="1"/>
    <col min="20" max="21" width="8.81640625" customWidth="1"/>
    <col min="22" max="22" width="19" bestFit="1" customWidth="1"/>
    <col min="23" max="23" width="8.81640625" customWidth="1"/>
    <col min="24" max="24" width="8.54296875" customWidth="1"/>
    <col min="25" max="25" width="17.26953125" bestFit="1" customWidth="1"/>
    <col min="26" max="26" width="9" customWidth="1"/>
    <col min="27" max="27" width="8.54296875" customWidth="1"/>
    <col min="28" max="28" width="10.1796875" customWidth="1"/>
    <col min="29" max="29" width="5.81640625" customWidth="1"/>
    <col min="30" max="30" width="10.1796875" customWidth="1"/>
    <col min="31" max="31" width="6.81640625" customWidth="1"/>
    <col min="32" max="32" width="15" customWidth="1"/>
    <col min="33" max="33" width="8.453125" customWidth="1"/>
    <col min="34" max="34" width="12.453125" bestFit="1" customWidth="1"/>
    <col min="35" max="35" width="10.1796875" customWidth="1"/>
    <col min="36" max="36" width="7.26953125" customWidth="1"/>
    <col min="37" max="37" width="10.453125" customWidth="1"/>
    <col min="38" max="38" width="12.453125" bestFit="1" customWidth="1"/>
    <col min="39" max="39" width="9.81640625" customWidth="1"/>
    <col min="40" max="40" width="10.453125" bestFit="1" customWidth="1"/>
    <col min="41" max="41" width="9" customWidth="1"/>
    <col min="42" max="42" width="10.81640625" customWidth="1"/>
    <col min="43" max="44" width="3.81640625" bestFit="1" customWidth="1"/>
    <col min="45" max="45" width="2.81640625" bestFit="1" customWidth="1"/>
    <col min="46" max="46" width="10.1796875" bestFit="1" customWidth="1"/>
    <col min="47" max="47" width="17.453125" bestFit="1" customWidth="1"/>
    <col min="48" max="50" width="3.81640625" bestFit="1" customWidth="1"/>
    <col min="51" max="51" width="2.81640625" bestFit="1" customWidth="1"/>
    <col min="52" max="53" width="3.81640625" bestFit="1" customWidth="1"/>
    <col min="54" max="56" width="2.81640625" bestFit="1" customWidth="1"/>
    <col min="57" max="57" width="3.81640625" bestFit="1" customWidth="1"/>
    <col min="58" max="58" width="2.81640625" bestFit="1" customWidth="1"/>
    <col min="59" max="59" width="3.81640625" bestFit="1" customWidth="1"/>
    <col min="60" max="61" width="2.81640625" bestFit="1" customWidth="1"/>
    <col min="62" max="91" width="3.81640625" bestFit="1" customWidth="1"/>
    <col min="92" max="92" width="6.81640625" bestFit="1" customWidth="1"/>
    <col min="93" max="93" width="10.453125" bestFit="1" customWidth="1"/>
  </cols>
  <sheetData>
    <row r="3" spans="1:47" x14ac:dyDescent="0.35">
      <c r="A3" s="14" t="s">
        <v>0</v>
      </c>
      <c r="B3" s="14" t="s">
        <v>1</v>
      </c>
      <c r="F3" s="7" t="s">
        <v>2</v>
      </c>
      <c r="G3" s="7" t="s">
        <v>3</v>
      </c>
      <c r="H3" s="7" t="s">
        <v>4</v>
      </c>
      <c r="L3" s="7" t="s">
        <v>2</v>
      </c>
      <c r="M3" s="7" t="s">
        <v>3</v>
      </c>
      <c r="N3" s="7" t="s">
        <v>4</v>
      </c>
      <c r="T3" s="7" t="s">
        <v>2</v>
      </c>
      <c r="U3" s="7" t="s">
        <v>3</v>
      </c>
      <c r="V3" s="7" t="s">
        <v>4</v>
      </c>
      <c r="X3" s="7" t="s">
        <v>2</v>
      </c>
      <c r="Y3" s="7" t="s">
        <v>3</v>
      </c>
      <c r="AA3" s="7" t="s">
        <v>2</v>
      </c>
      <c r="AB3" s="7" t="s">
        <v>5</v>
      </c>
      <c r="AE3" s="7" t="s">
        <v>2</v>
      </c>
      <c r="AF3" s="7" t="s">
        <v>6</v>
      </c>
      <c r="AG3" s="13" t="s">
        <v>7</v>
      </c>
      <c r="AI3" s="7" t="s">
        <v>2</v>
      </c>
      <c r="AJ3" s="7" t="s">
        <v>8</v>
      </c>
      <c r="AK3" s="13" t="s">
        <v>9</v>
      </c>
      <c r="AN3" s="7" t="s">
        <v>2</v>
      </c>
      <c r="AO3" s="7" t="s">
        <v>8</v>
      </c>
      <c r="AP3" s="13" t="s">
        <v>9</v>
      </c>
      <c r="AT3" s="7" t="s">
        <v>2</v>
      </c>
      <c r="AU3" s="7" t="s">
        <v>3</v>
      </c>
    </row>
    <row r="4" spans="1:47" x14ac:dyDescent="0.35">
      <c r="A4" s="15" t="s">
        <v>10</v>
      </c>
      <c r="B4" s="15">
        <f>GETPIVOTDATA("Sum of Visitor Count",$F$14)</f>
        <v>11877</v>
      </c>
      <c r="F4" s="4" t="s">
        <v>11</v>
      </c>
      <c r="G4">
        <f t="shared" ref="G4:G9" si="0">GETPIVOTDATA("Sum of Visitor Count",$F$14,"Traffic Source Type",F4)</f>
        <v>2677</v>
      </c>
      <c r="H4" s="5">
        <f t="shared" ref="H4:H9" si="1">GETPIVOTDATA("Sum of Visitor Count2",$F$14,"Traffic Source Type",F4)</f>
        <v>0.2253936179169824</v>
      </c>
      <c r="L4" s="4" t="s">
        <v>11</v>
      </c>
      <c r="M4">
        <f t="shared" ref="M4:M9" si="2">GETPIVOTDATA("Sum of Visitor Count",$F$14,"Traffic Source Type",L4)</f>
        <v>2677</v>
      </c>
      <c r="N4" s="5">
        <f t="shared" ref="N4:N9" si="3">GETPIVOTDATA("Sum of Visitor Count2",$F$14,"Traffic Source Type",L4)</f>
        <v>0.2253936179169824</v>
      </c>
      <c r="T4" s="4" t="s">
        <v>12</v>
      </c>
      <c r="U4">
        <f>GETPIVOTDATA("Sum of Visitor Count",$L$14,"Visitor Type",T4)</f>
        <v>924</v>
      </c>
      <c r="V4" s="5">
        <f>GETPIVOTDATA("Sum of Visitor Count2",$L$14,"Visitor Type",T4)</f>
        <v>7.7797423591816114E-2</v>
      </c>
      <c r="X4" s="4" t="s">
        <v>13</v>
      </c>
      <c r="Y4">
        <f>GETPIVOTDATA("Visitor Count",$S$14,"Month",X4)</f>
        <v>1245</v>
      </c>
      <c r="AA4" s="4" t="s">
        <v>13</v>
      </c>
      <c r="AB4" s="6">
        <f>GETPIVOTDATA("Bounce Rate %",$W$14,"Month",AA4)</f>
        <v>1421.1200000000001</v>
      </c>
      <c r="AE4" s="4" t="s">
        <v>14</v>
      </c>
      <c r="AF4" s="6">
        <f>GETPIVOTDATA("Goal Conversion Rate %",$AA$14,"Channel",AE4)</f>
        <v>16.165624999999999</v>
      </c>
      <c r="AG4" s="12">
        <f>AF4/$AF$7</f>
        <v>0.41199748263061975</v>
      </c>
      <c r="AI4" s="4" t="s">
        <v>15</v>
      </c>
      <c r="AJ4" s="6">
        <f>GETPIVOTDATA("Conversion % (Channel)",$AD$14,"Campaign Name",AI4)</f>
        <v>21.524999999999999</v>
      </c>
      <c r="AK4" s="12">
        <f>AJ4/$AJ$8</f>
        <v>0.34389378987554448</v>
      </c>
      <c r="AN4" s="4" t="s">
        <v>16</v>
      </c>
      <c r="AO4" s="6">
        <f>GETPIVOTDATA("Conversion % (Channel)",$AH$14,"Page Name",AN4)</f>
        <v>18.177551020408163</v>
      </c>
      <c r="AP4" s="12">
        <f>AO4/$AO$7</f>
        <v>0.36346391214474638</v>
      </c>
      <c r="AT4" s="4" t="s">
        <v>11</v>
      </c>
      <c r="AU4" s="6">
        <f t="shared" ref="AU4:AU9" si="4">GETPIVOTDATA("Visitor Count",$AL$14,"Traffic Source Type",AT4)</f>
        <v>2677</v>
      </c>
    </row>
    <row r="5" spans="1:47" x14ac:dyDescent="0.35">
      <c r="A5" s="15" t="s">
        <v>17</v>
      </c>
      <c r="B5" s="16">
        <f>GETPIVOTDATA("Avg. Session Duration (sec)",$F$26)/60</f>
        <v>0.86418803418803414</v>
      </c>
      <c r="F5" s="4" t="s">
        <v>14</v>
      </c>
      <c r="G5">
        <f t="shared" si="0"/>
        <v>2402</v>
      </c>
      <c r="H5" s="5">
        <f t="shared" si="1"/>
        <v>0.20223962280037047</v>
      </c>
      <c r="L5" s="4" t="s">
        <v>14</v>
      </c>
      <c r="M5">
        <f t="shared" si="2"/>
        <v>2402</v>
      </c>
      <c r="N5" s="5">
        <f t="shared" si="3"/>
        <v>0.20223962280037047</v>
      </c>
      <c r="T5" s="4" t="s">
        <v>18</v>
      </c>
      <c r="U5">
        <f>GETPIVOTDATA("Sum of Visitor Count",$L$14,"Visitor Type",T5)</f>
        <v>6001</v>
      </c>
      <c r="V5" s="5">
        <f>GETPIVOTDATA("Sum of Visitor Count2",$L$14,"Visitor Type",T5)</f>
        <v>0.50526227161741177</v>
      </c>
      <c r="X5" s="4" t="s">
        <v>19</v>
      </c>
      <c r="Y5">
        <f t="shared" ref="Y5:Y10" si="5">GETPIVOTDATA("Visitor Count",$S$14,"Month",X5)</f>
        <v>2781</v>
      </c>
      <c r="AA5" s="4" t="s">
        <v>19</v>
      </c>
      <c r="AB5" s="6">
        <f t="shared" ref="AB5:AB10" si="6">GETPIVOTDATA("Bounce Rate %",$W$14,"Month",AA5)</f>
        <v>1744.17</v>
      </c>
      <c r="AE5" s="4" t="s">
        <v>20</v>
      </c>
      <c r="AF5" s="6">
        <f>GETPIVOTDATA("Goal Conversion Rate %",$AA$14,"Channel",AE5)</f>
        <v>9.5382352941176496</v>
      </c>
      <c r="AG5" s="12">
        <f>AF5/$AF$7</f>
        <v>0.24309167940707527</v>
      </c>
      <c r="AI5" s="4" t="s">
        <v>21</v>
      </c>
      <c r="AJ5" s="6">
        <f>GETPIVOTDATA("Conversion % (Channel)",$AD$14,"Campaign Name",AI5)</f>
        <v>18.14433962264151</v>
      </c>
      <c r="AK5" s="12">
        <f>AJ5/$AJ$8</f>
        <v>0.289882727880102</v>
      </c>
      <c r="AN5" s="4" t="s">
        <v>22</v>
      </c>
      <c r="AO5" s="6">
        <f>GETPIVOTDATA("Conversion % (Channel)",$AH$14,"Page Name",AN5)</f>
        <v>17.624137931034483</v>
      </c>
      <c r="AP5" s="12">
        <f>AO5/$AO$7</f>
        <v>0.35239830235660502</v>
      </c>
      <c r="AT5" s="4" t="s">
        <v>14</v>
      </c>
      <c r="AU5" s="6">
        <f t="shared" si="4"/>
        <v>2402</v>
      </c>
    </row>
    <row r="6" spans="1:47" x14ac:dyDescent="0.35">
      <c r="A6" s="15" t="s">
        <v>23</v>
      </c>
      <c r="B6" s="16">
        <f>GETPIVOTDATA("Pages Per Visit",$F$38)</f>
        <v>3.4799999999999964</v>
      </c>
      <c r="F6" s="4" t="s">
        <v>24</v>
      </c>
      <c r="G6">
        <f t="shared" si="0"/>
        <v>1424</v>
      </c>
      <c r="H6" s="5">
        <f t="shared" si="1"/>
        <v>0.11989559653111055</v>
      </c>
      <c r="L6" s="4" t="s">
        <v>24</v>
      </c>
      <c r="M6">
        <f t="shared" si="2"/>
        <v>1424</v>
      </c>
      <c r="N6" s="5">
        <f t="shared" si="3"/>
        <v>0.11989559653111055</v>
      </c>
      <c r="T6" s="4" t="s">
        <v>25</v>
      </c>
      <c r="U6">
        <f>GETPIVOTDATA("Sum of Visitor Count",$L$14,"Visitor Type",T6)</f>
        <v>4952</v>
      </c>
      <c r="V6" s="5">
        <f>GETPIVOTDATA("Sum of Visitor Count2",$L$14,"Visitor Type",T6)</f>
        <v>0.4169403047907721</v>
      </c>
      <c r="X6" s="4" t="s">
        <v>26</v>
      </c>
      <c r="Y6">
        <f t="shared" si="5"/>
        <v>2041</v>
      </c>
      <c r="AA6" s="4" t="s">
        <v>26</v>
      </c>
      <c r="AB6" s="6">
        <f t="shared" si="6"/>
        <v>1893.79</v>
      </c>
      <c r="AE6" s="4" t="s">
        <v>27</v>
      </c>
      <c r="AF6" s="6">
        <f>GETPIVOTDATA("Goal Conversion Rate %",$AA$14,"Channel",AE6)</f>
        <v>13.533333333333333</v>
      </c>
      <c r="AG6" s="12">
        <f>AF6/$AF$7</f>
        <v>0.34491083796230509</v>
      </c>
      <c r="AI6" s="4" t="s">
        <v>28</v>
      </c>
      <c r="AJ6" s="6">
        <f>GETPIVOTDATA("Conversion % (Channel)",$AD$14,"Campaign Name",AI6)</f>
        <v>18.057142857142857</v>
      </c>
      <c r="AK6" s="12">
        <f>AJ6/$AJ$8</f>
        <v>0.28848963026559699</v>
      </c>
      <c r="AN6" s="4" t="s">
        <v>29</v>
      </c>
      <c r="AO6" s="6">
        <f>GETPIVOTDATA("Conversion % (Channel)",$AH$14,"Page Name",AN6)</f>
        <v>14.210294117647059</v>
      </c>
      <c r="AP6" s="12">
        <f>AO6/$AO$7</f>
        <v>0.28413778549864871</v>
      </c>
      <c r="AT6" s="4" t="s">
        <v>24</v>
      </c>
      <c r="AU6" s="6">
        <f t="shared" si="4"/>
        <v>1424</v>
      </c>
    </row>
    <row r="7" spans="1:47" x14ac:dyDescent="0.35">
      <c r="A7" s="15" t="s">
        <v>30</v>
      </c>
      <c r="B7" s="17">
        <f>GETPIVOTDATA("Bounce Rate %",$W$14)/GETPIVOTDATA("Visitor Count",$S$14)</f>
        <v>0.99134714153405723</v>
      </c>
      <c r="F7" s="4" t="s">
        <v>31</v>
      </c>
      <c r="G7">
        <f t="shared" si="0"/>
        <v>1849</v>
      </c>
      <c r="H7" s="5">
        <f t="shared" si="1"/>
        <v>0.15567904352951081</v>
      </c>
      <c r="L7" s="4" t="s">
        <v>31</v>
      </c>
      <c r="M7">
        <f t="shared" si="2"/>
        <v>1849</v>
      </c>
      <c r="N7" s="5">
        <f t="shared" si="3"/>
        <v>0.15567904352951081</v>
      </c>
      <c r="T7" s="9" t="s">
        <v>32</v>
      </c>
      <c r="U7" s="8">
        <f>SUM(U4:U6)</f>
        <v>11877</v>
      </c>
      <c r="V7" s="10">
        <f>SUM(V4:V6)</f>
        <v>1</v>
      </c>
      <c r="X7" s="4" t="s">
        <v>33</v>
      </c>
      <c r="Y7">
        <f t="shared" si="5"/>
        <v>1604</v>
      </c>
      <c r="AA7" s="4" t="s">
        <v>33</v>
      </c>
      <c r="AB7" s="6">
        <f t="shared" si="6"/>
        <v>1709.53</v>
      </c>
      <c r="AE7" s="9" t="s">
        <v>32</v>
      </c>
      <c r="AF7" s="11">
        <f>SUM(AF4:AF6)</f>
        <v>39.237193627450978</v>
      </c>
      <c r="AG7" s="12">
        <f>AF7/$AF$7</f>
        <v>1</v>
      </c>
      <c r="AI7" s="4" t="s">
        <v>34</v>
      </c>
      <c r="AJ7" s="6">
        <f>GETPIVOTDATA("Conversion % (Channel)",$AD$14,"Campaign Name",AI7)</f>
        <v>4.8655172413793091</v>
      </c>
      <c r="AK7" s="12">
        <f>AJ7/$AJ$8</f>
        <v>7.7733851978756568E-2</v>
      </c>
      <c r="AN7" s="9" t="s">
        <v>32</v>
      </c>
      <c r="AO7" s="11">
        <f>SUM(AO4:AO6)</f>
        <v>50.011983069089702</v>
      </c>
      <c r="AP7" s="12">
        <f>AO7/$AO$7</f>
        <v>1</v>
      </c>
      <c r="AT7" s="4" t="s">
        <v>31</v>
      </c>
      <c r="AU7" s="6">
        <f t="shared" si="4"/>
        <v>1849</v>
      </c>
    </row>
    <row r="8" spans="1:47" x14ac:dyDescent="0.35">
      <c r="A8" s="15" t="s">
        <v>35</v>
      </c>
      <c r="B8" s="15">
        <f>GETPIVOTDATA("Total Page Views",$F$49)</f>
        <v>10548</v>
      </c>
      <c r="F8" s="4" t="s">
        <v>36</v>
      </c>
      <c r="G8">
        <f t="shared" si="0"/>
        <v>1370</v>
      </c>
      <c r="H8" s="5">
        <f t="shared" si="1"/>
        <v>0.11534899385366675</v>
      </c>
      <c r="L8" s="4" t="s">
        <v>36</v>
      </c>
      <c r="M8">
        <f t="shared" si="2"/>
        <v>1370</v>
      </c>
      <c r="N8" s="5">
        <f t="shared" si="3"/>
        <v>0.11534899385366675</v>
      </c>
      <c r="X8" s="4" t="s">
        <v>37</v>
      </c>
      <c r="Y8">
        <f t="shared" si="5"/>
        <v>936</v>
      </c>
      <c r="AA8" s="4" t="s">
        <v>37</v>
      </c>
      <c r="AB8" s="6">
        <f t="shared" si="6"/>
        <v>2032.67</v>
      </c>
      <c r="AI8" s="9" t="s">
        <v>32</v>
      </c>
      <c r="AJ8" s="11">
        <f>SUM(AJ4:AJ7)</f>
        <v>62.591999721163674</v>
      </c>
      <c r="AK8" s="12">
        <f>AJ8/$AJ$8</f>
        <v>1</v>
      </c>
      <c r="AT8" s="4" t="s">
        <v>36</v>
      </c>
      <c r="AU8" s="6">
        <f t="shared" si="4"/>
        <v>1370</v>
      </c>
    </row>
    <row r="9" spans="1:47" x14ac:dyDescent="0.35">
      <c r="A9" s="15" t="s">
        <v>38</v>
      </c>
      <c r="B9" s="17">
        <f>GETPIVOTDATA("Goal Conversion Rate %",$F$61)/B4</f>
        <v>0.21350509387892566</v>
      </c>
      <c r="F9" s="4" t="s">
        <v>39</v>
      </c>
      <c r="G9">
        <f t="shared" si="0"/>
        <v>2155</v>
      </c>
      <c r="H9" s="5">
        <f t="shared" si="1"/>
        <v>0.18144312536835902</v>
      </c>
      <c r="L9" s="4" t="s">
        <v>39</v>
      </c>
      <c r="M9">
        <f t="shared" si="2"/>
        <v>2155</v>
      </c>
      <c r="N9" s="5">
        <f t="shared" si="3"/>
        <v>0.18144312536835902</v>
      </c>
      <c r="X9" s="4" t="s">
        <v>40</v>
      </c>
      <c r="Y9">
        <f t="shared" si="5"/>
        <v>2099</v>
      </c>
      <c r="AA9" s="4" t="s">
        <v>40</v>
      </c>
      <c r="AB9" s="6">
        <f t="shared" si="6"/>
        <v>1764.65</v>
      </c>
      <c r="AT9" s="4" t="s">
        <v>39</v>
      </c>
      <c r="AU9" s="6">
        <f t="shared" si="4"/>
        <v>2155</v>
      </c>
    </row>
    <row r="10" spans="1:47" x14ac:dyDescent="0.35">
      <c r="F10" s="9" t="s">
        <v>32</v>
      </c>
      <c r="G10" s="8">
        <f>SUM(G4:G9)</f>
        <v>11877</v>
      </c>
      <c r="H10" s="5">
        <f>SUM(H4:H9)</f>
        <v>1</v>
      </c>
      <c r="L10" s="9" t="s">
        <v>32</v>
      </c>
      <c r="M10" s="8">
        <f>SUM(M4:M9)</f>
        <v>11877</v>
      </c>
      <c r="N10" s="10">
        <f>SUM(N4:N9)</f>
        <v>1</v>
      </c>
      <c r="X10" s="4" t="s">
        <v>41</v>
      </c>
      <c r="Y10">
        <f t="shared" si="5"/>
        <v>1171</v>
      </c>
      <c r="AA10" s="4" t="s">
        <v>41</v>
      </c>
      <c r="AB10" s="6">
        <f t="shared" si="6"/>
        <v>1208.3</v>
      </c>
      <c r="AT10" s="9" t="s">
        <v>32</v>
      </c>
      <c r="AU10" s="11">
        <f>SUM(AU4:AU9)</f>
        <v>11877</v>
      </c>
    </row>
    <row r="11" spans="1:47" x14ac:dyDescent="0.35">
      <c r="X11" s="9" t="s">
        <v>32</v>
      </c>
      <c r="Y11" s="8">
        <f>SUM(Y4:Y10)</f>
        <v>11877</v>
      </c>
      <c r="AA11" s="9" t="s">
        <v>32</v>
      </c>
      <c r="AB11" s="11">
        <f>SUM(AB4:AB10)</f>
        <v>11774.229999999998</v>
      </c>
      <c r="AK11" s="12"/>
    </row>
    <row r="14" spans="1:47" x14ac:dyDescent="0.35">
      <c r="F14" s="3" t="s">
        <v>2</v>
      </c>
      <c r="G14" t="s">
        <v>3</v>
      </c>
      <c r="H14" t="s">
        <v>4</v>
      </c>
      <c r="L14" s="3" t="s">
        <v>2</v>
      </c>
      <c r="M14" t="s">
        <v>3</v>
      </c>
      <c r="N14" t="s">
        <v>4</v>
      </c>
      <c r="S14" s="3" t="s">
        <v>2</v>
      </c>
      <c r="T14" t="s">
        <v>3</v>
      </c>
      <c r="W14" s="3" t="s">
        <v>2</v>
      </c>
      <c r="X14" t="s">
        <v>5</v>
      </c>
      <c r="AA14" s="3" t="s">
        <v>2</v>
      </c>
      <c r="AB14" t="s">
        <v>6</v>
      </c>
      <c r="AD14" s="3" t="s">
        <v>2</v>
      </c>
      <c r="AE14" t="s">
        <v>8</v>
      </c>
      <c r="AH14" s="3" t="s">
        <v>2</v>
      </c>
      <c r="AI14" t="s">
        <v>8</v>
      </c>
      <c r="AL14" s="3" t="s">
        <v>2</v>
      </c>
      <c r="AM14" t="s">
        <v>3</v>
      </c>
    </row>
    <row r="15" spans="1:47" x14ac:dyDescent="0.35">
      <c r="F15" s="4" t="s">
        <v>11</v>
      </c>
      <c r="G15" s="20">
        <v>2677</v>
      </c>
      <c r="H15" s="5">
        <v>0.2253936179169824</v>
      </c>
      <c r="L15" s="4" t="s">
        <v>12</v>
      </c>
      <c r="M15" s="20">
        <v>924</v>
      </c>
      <c r="N15" s="5">
        <v>7.7797423591816114E-2</v>
      </c>
      <c r="S15" s="4" t="s">
        <v>13</v>
      </c>
      <c r="T15" s="20">
        <v>1245</v>
      </c>
      <c r="W15" s="4" t="s">
        <v>13</v>
      </c>
      <c r="X15" s="6">
        <v>1421.1200000000001</v>
      </c>
      <c r="AA15" s="4" t="s">
        <v>14</v>
      </c>
      <c r="AB15" s="6">
        <v>16.165624999999999</v>
      </c>
      <c r="AD15" s="4" t="s">
        <v>15</v>
      </c>
      <c r="AE15" s="6">
        <v>21.524999999999999</v>
      </c>
      <c r="AH15" s="4" t="s">
        <v>16</v>
      </c>
      <c r="AI15" s="6">
        <v>18.177551020408163</v>
      </c>
      <c r="AL15" s="4" t="s">
        <v>11</v>
      </c>
      <c r="AM15" s="6">
        <v>2677</v>
      </c>
    </row>
    <row r="16" spans="1:47" x14ac:dyDescent="0.35">
      <c r="F16" s="4" t="s">
        <v>14</v>
      </c>
      <c r="G16" s="20">
        <v>2402</v>
      </c>
      <c r="H16" s="5">
        <v>0.20223962280037047</v>
      </c>
      <c r="L16" s="4" t="s">
        <v>18</v>
      </c>
      <c r="M16" s="20">
        <v>6001</v>
      </c>
      <c r="N16" s="5">
        <v>0.50526227161741177</v>
      </c>
      <c r="S16" s="4" t="s">
        <v>19</v>
      </c>
      <c r="T16" s="20">
        <v>2781</v>
      </c>
      <c r="W16" s="4" t="s">
        <v>19</v>
      </c>
      <c r="X16" s="6">
        <v>1744.17</v>
      </c>
      <c r="AA16" s="4" t="s">
        <v>20</v>
      </c>
      <c r="AB16" s="6">
        <v>9.5382352941176496</v>
      </c>
      <c r="AD16" s="4" t="s">
        <v>21</v>
      </c>
      <c r="AE16" s="6">
        <v>18.14433962264151</v>
      </c>
      <c r="AH16" s="4" t="s">
        <v>22</v>
      </c>
      <c r="AI16" s="6">
        <v>17.624137931034483</v>
      </c>
      <c r="AL16" s="4" t="s">
        <v>14</v>
      </c>
      <c r="AM16" s="6">
        <v>2402</v>
      </c>
    </row>
    <row r="17" spans="6:39" x14ac:dyDescent="0.35">
      <c r="F17" s="4" t="s">
        <v>24</v>
      </c>
      <c r="G17" s="20">
        <v>1424</v>
      </c>
      <c r="H17" s="5">
        <v>0.11989559653111055</v>
      </c>
      <c r="L17" s="4" t="s">
        <v>25</v>
      </c>
      <c r="M17" s="20">
        <v>4952</v>
      </c>
      <c r="N17" s="5">
        <v>0.4169403047907721</v>
      </c>
      <c r="S17" s="4" t="s">
        <v>26</v>
      </c>
      <c r="T17" s="20">
        <v>2041</v>
      </c>
      <c r="W17" s="4" t="s">
        <v>26</v>
      </c>
      <c r="X17" s="6">
        <v>1893.79</v>
      </c>
      <c r="AA17" s="4" t="s">
        <v>27</v>
      </c>
      <c r="AB17" s="6">
        <v>13.533333333333333</v>
      </c>
      <c r="AD17" s="4" t="s">
        <v>28</v>
      </c>
      <c r="AE17" s="6">
        <v>18.057142857142857</v>
      </c>
      <c r="AH17" s="4" t="s">
        <v>29</v>
      </c>
      <c r="AI17" s="6">
        <v>14.210294117647059</v>
      </c>
      <c r="AL17" s="4" t="s">
        <v>24</v>
      </c>
      <c r="AM17" s="6">
        <v>1424</v>
      </c>
    </row>
    <row r="18" spans="6:39" x14ac:dyDescent="0.35">
      <c r="F18" s="4" t="s">
        <v>31</v>
      </c>
      <c r="G18" s="20">
        <v>1849</v>
      </c>
      <c r="H18" s="5">
        <v>0.15567904352951081</v>
      </c>
      <c r="L18" s="4" t="s">
        <v>32</v>
      </c>
      <c r="M18" s="20">
        <v>11877</v>
      </c>
      <c r="N18" s="5">
        <v>1</v>
      </c>
      <c r="S18" s="4" t="s">
        <v>33</v>
      </c>
      <c r="T18" s="20">
        <v>1604</v>
      </c>
      <c r="W18" s="4" t="s">
        <v>33</v>
      </c>
      <c r="X18" s="6">
        <v>1709.53</v>
      </c>
      <c r="AA18" s="4" t="s">
        <v>32</v>
      </c>
      <c r="AB18" s="6">
        <v>13.004102564102556</v>
      </c>
      <c r="AD18" s="4" t="s">
        <v>34</v>
      </c>
      <c r="AE18" s="6">
        <v>4.8655172413793091</v>
      </c>
      <c r="AH18" s="4" t="s">
        <v>32</v>
      </c>
      <c r="AI18" s="6">
        <v>16.711794871794865</v>
      </c>
      <c r="AL18" s="4" t="s">
        <v>31</v>
      </c>
      <c r="AM18" s="6">
        <v>1849</v>
      </c>
    </row>
    <row r="19" spans="6:39" x14ac:dyDescent="0.35">
      <c r="F19" s="4" t="s">
        <v>36</v>
      </c>
      <c r="G19" s="20">
        <v>1370</v>
      </c>
      <c r="H19" s="5">
        <v>0.11534899385366675</v>
      </c>
      <c r="S19" s="4" t="s">
        <v>37</v>
      </c>
      <c r="T19" s="20">
        <v>936</v>
      </c>
      <c r="W19" s="4" t="s">
        <v>37</v>
      </c>
      <c r="X19" s="6">
        <v>2032.67</v>
      </c>
      <c r="AD19" s="4" t="s">
        <v>32</v>
      </c>
      <c r="AE19" s="6">
        <v>16.711794871794876</v>
      </c>
      <c r="AL19" s="4" t="s">
        <v>36</v>
      </c>
      <c r="AM19" s="6">
        <v>1370</v>
      </c>
    </row>
    <row r="20" spans="6:39" x14ac:dyDescent="0.35">
      <c r="F20" s="4" t="s">
        <v>39</v>
      </c>
      <c r="G20" s="20">
        <v>2155</v>
      </c>
      <c r="H20" s="5">
        <v>0.18144312536835902</v>
      </c>
      <c r="S20" s="4" t="s">
        <v>40</v>
      </c>
      <c r="T20" s="20">
        <v>2099</v>
      </c>
      <c r="W20" s="4" t="s">
        <v>40</v>
      </c>
      <c r="X20" s="6">
        <v>1764.65</v>
      </c>
      <c r="AL20" s="4" t="s">
        <v>39</v>
      </c>
      <c r="AM20" s="6">
        <v>2155</v>
      </c>
    </row>
    <row r="21" spans="6:39" x14ac:dyDescent="0.35">
      <c r="F21" s="4" t="s">
        <v>32</v>
      </c>
      <c r="G21" s="20">
        <v>11877</v>
      </c>
      <c r="H21" s="5">
        <v>1</v>
      </c>
      <c r="S21" s="4" t="s">
        <v>41</v>
      </c>
      <c r="T21" s="20">
        <v>1171</v>
      </c>
      <c r="W21" s="4" t="s">
        <v>41</v>
      </c>
      <c r="X21" s="6">
        <v>1208.3</v>
      </c>
      <c r="AL21" s="4" t="s">
        <v>32</v>
      </c>
      <c r="AM21" s="6">
        <v>11877</v>
      </c>
    </row>
    <row r="22" spans="6:39" x14ac:dyDescent="0.35">
      <c r="S22" s="4" t="s">
        <v>32</v>
      </c>
      <c r="T22" s="20">
        <v>11877</v>
      </c>
      <c r="W22" s="4" t="s">
        <v>32</v>
      </c>
      <c r="X22" s="6">
        <v>11774.229999999998</v>
      </c>
    </row>
    <row r="26" spans="6:39" x14ac:dyDescent="0.35">
      <c r="F26" s="3" t="s">
        <v>2</v>
      </c>
      <c r="G26" t="s">
        <v>42</v>
      </c>
    </row>
    <row r="27" spans="6:39" x14ac:dyDescent="0.35">
      <c r="F27" s="4" t="s">
        <v>11</v>
      </c>
      <c r="G27" s="20">
        <v>51.793103448275865</v>
      </c>
    </row>
    <row r="28" spans="6:39" x14ac:dyDescent="0.35">
      <c r="F28" s="4" t="s">
        <v>14</v>
      </c>
      <c r="G28" s="20">
        <v>41.138888888888886</v>
      </c>
    </row>
    <row r="29" spans="6:39" x14ac:dyDescent="0.35">
      <c r="F29" s="4" t="s">
        <v>24</v>
      </c>
      <c r="G29" s="20">
        <v>31.642857142857142</v>
      </c>
    </row>
    <row r="30" spans="6:39" x14ac:dyDescent="0.35">
      <c r="F30" s="4" t="s">
        <v>31</v>
      </c>
      <c r="G30" s="20">
        <v>75.028571428571425</v>
      </c>
    </row>
    <row r="31" spans="6:39" x14ac:dyDescent="0.35">
      <c r="F31" s="4" t="s">
        <v>36</v>
      </c>
      <c r="G31" s="20">
        <v>32.5</v>
      </c>
    </row>
    <row r="32" spans="6:39" x14ac:dyDescent="0.35">
      <c r="F32" s="4" t="s">
        <v>39</v>
      </c>
      <c r="G32" s="20">
        <v>73.599999999999994</v>
      </c>
    </row>
    <row r="33" spans="6:7" x14ac:dyDescent="0.35">
      <c r="F33" s="4" t="s">
        <v>32</v>
      </c>
      <c r="G33" s="20">
        <v>51.851282051282048</v>
      </c>
    </row>
    <row r="38" spans="6:7" x14ac:dyDescent="0.35">
      <c r="F38" s="3" t="s">
        <v>2</v>
      </c>
      <c r="G38" t="s">
        <v>43</v>
      </c>
    </row>
    <row r="39" spans="6:7" x14ac:dyDescent="0.35">
      <c r="F39" s="4" t="s">
        <v>11</v>
      </c>
      <c r="G39" s="20">
        <v>3.2448275862068967</v>
      </c>
    </row>
    <row r="40" spans="6:7" x14ac:dyDescent="0.35">
      <c r="F40" s="4" t="s">
        <v>14</v>
      </c>
      <c r="G40" s="20">
        <v>2.8944444444444448</v>
      </c>
    </row>
    <row r="41" spans="6:7" x14ac:dyDescent="0.35">
      <c r="F41" s="4" t="s">
        <v>24</v>
      </c>
      <c r="G41" s="20">
        <v>3.9571428571428564</v>
      </c>
    </row>
    <row r="42" spans="6:7" x14ac:dyDescent="0.35">
      <c r="F42" s="4" t="s">
        <v>31</v>
      </c>
      <c r="G42" s="20">
        <v>3.1542857142857139</v>
      </c>
    </row>
    <row r="43" spans="6:7" x14ac:dyDescent="0.35">
      <c r="F43" s="4" t="s">
        <v>36</v>
      </c>
      <c r="G43" s="20">
        <v>3.7343750000000013</v>
      </c>
    </row>
    <row r="44" spans="6:7" x14ac:dyDescent="0.35">
      <c r="F44" s="4" t="s">
        <v>39</v>
      </c>
      <c r="G44" s="20">
        <v>3.9885714285714293</v>
      </c>
    </row>
    <row r="45" spans="6:7" x14ac:dyDescent="0.35">
      <c r="F45" s="4" t="s">
        <v>32</v>
      </c>
      <c r="G45" s="20">
        <v>3.4799999999999964</v>
      </c>
    </row>
    <row r="49" spans="6:7" x14ac:dyDescent="0.35">
      <c r="F49" s="3" t="s">
        <v>2</v>
      </c>
      <c r="G49" t="s">
        <v>44</v>
      </c>
    </row>
    <row r="50" spans="6:7" x14ac:dyDescent="0.35">
      <c r="F50" s="4" t="s">
        <v>11</v>
      </c>
      <c r="G50" s="20">
        <v>1151</v>
      </c>
    </row>
    <row r="51" spans="6:7" x14ac:dyDescent="0.35">
      <c r="F51" s="4" t="s">
        <v>14</v>
      </c>
      <c r="G51" s="20">
        <v>1341</v>
      </c>
    </row>
    <row r="52" spans="6:7" x14ac:dyDescent="0.35">
      <c r="F52" s="4" t="s">
        <v>24</v>
      </c>
      <c r="G52" s="20">
        <v>2257</v>
      </c>
    </row>
    <row r="53" spans="6:7" x14ac:dyDescent="0.35">
      <c r="F53" s="4" t="s">
        <v>31</v>
      </c>
      <c r="G53" s="20">
        <v>1324</v>
      </c>
    </row>
    <row r="54" spans="6:7" x14ac:dyDescent="0.35">
      <c r="F54" s="4" t="s">
        <v>36</v>
      </c>
      <c r="G54" s="20">
        <v>2334</v>
      </c>
    </row>
    <row r="55" spans="6:7" x14ac:dyDescent="0.35">
      <c r="F55" s="4" t="s">
        <v>39</v>
      </c>
      <c r="G55" s="20">
        <v>2141</v>
      </c>
    </row>
    <row r="56" spans="6:7" x14ac:dyDescent="0.35">
      <c r="F56" s="4" t="s">
        <v>32</v>
      </c>
      <c r="G56" s="20">
        <v>10548</v>
      </c>
    </row>
    <row r="61" spans="6:7" x14ac:dyDescent="0.35">
      <c r="F61" s="3" t="s">
        <v>2</v>
      </c>
      <c r="G61" t="s">
        <v>45</v>
      </c>
    </row>
    <row r="62" spans="6:7" x14ac:dyDescent="0.35">
      <c r="F62" s="4" t="s">
        <v>11</v>
      </c>
      <c r="G62" s="20">
        <v>310.10000000000002</v>
      </c>
    </row>
    <row r="63" spans="6:7" x14ac:dyDescent="0.35">
      <c r="F63" s="4" t="s">
        <v>14</v>
      </c>
      <c r="G63" s="20">
        <v>617</v>
      </c>
    </row>
    <row r="64" spans="6:7" x14ac:dyDescent="0.35">
      <c r="F64" s="4" t="s">
        <v>24</v>
      </c>
      <c r="G64" s="20">
        <v>417.59999999999997</v>
      </c>
    </row>
    <row r="65" spans="6:7" x14ac:dyDescent="0.35">
      <c r="F65" s="4" t="s">
        <v>31</v>
      </c>
      <c r="G65" s="20">
        <v>194.7</v>
      </c>
    </row>
    <row r="66" spans="6:7" x14ac:dyDescent="0.35">
      <c r="F66" s="4" t="s">
        <v>36</v>
      </c>
      <c r="G66" s="20">
        <v>447.4</v>
      </c>
    </row>
    <row r="67" spans="6:7" x14ac:dyDescent="0.35">
      <c r="F67" s="4" t="s">
        <v>39</v>
      </c>
      <c r="G67" s="20">
        <v>549</v>
      </c>
    </row>
    <row r="68" spans="6:7" x14ac:dyDescent="0.35">
      <c r="F68" s="4" t="s">
        <v>32</v>
      </c>
      <c r="G68" s="20">
        <v>2535.8000000000002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C1471-B6AC-4E50-A88D-48F703E9C2D8}">
  <dimension ref="H16:U39"/>
  <sheetViews>
    <sheetView showGridLines="0" tabSelected="1" topLeftCell="A2" zoomScale="59" zoomScaleNormal="59" workbookViewId="0">
      <selection activeCell="W15" sqref="W15"/>
    </sheetView>
  </sheetViews>
  <sheetFormatPr defaultRowHeight="14.5" x14ac:dyDescent="0.35"/>
  <sheetData>
    <row r="16" spans="21:21" x14ac:dyDescent="0.35">
      <c r="U16" s="18"/>
    </row>
    <row r="39" spans="8:8" x14ac:dyDescent="0.35">
      <c r="H39" s="19"/>
    </row>
  </sheetData>
  <sheetProtection sheet="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E049-AFCD-43C5-80D6-545D58F18D6D}">
  <dimension ref="A1:T196"/>
  <sheetViews>
    <sheetView topLeftCell="C1" workbookViewId="0">
      <pane ySplit="1" topLeftCell="A180" activePane="bottomLeft" state="frozen"/>
      <selection pane="bottomLeft" activeCell="G198" sqref="G198"/>
    </sheetView>
  </sheetViews>
  <sheetFormatPr defaultRowHeight="14.5" x14ac:dyDescent="0.35"/>
  <cols>
    <col min="1" max="1" width="18.54296875" customWidth="1"/>
    <col min="2" max="2" width="16.26953125" customWidth="1"/>
    <col min="3" max="3" width="12.453125" customWidth="1"/>
    <col min="4" max="4" width="13.54296875" customWidth="1"/>
    <col min="5" max="5" width="12.453125" customWidth="1"/>
    <col min="6" max="6" width="19.81640625" customWidth="1"/>
    <col min="7" max="7" width="15.1796875" customWidth="1"/>
    <col min="8" max="8" width="25.453125" customWidth="1"/>
    <col min="9" max="9" width="14.81640625" customWidth="1"/>
    <col min="10" max="10" width="13.26953125" customWidth="1"/>
    <col min="11" max="11" width="16.54296875" customWidth="1"/>
    <col min="12" max="12" width="22.54296875" customWidth="1"/>
    <col min="13" max="13" width="9.81640625" customWidth="1"/>
    <col min="14" max="14" width="22.81640625" customWidth="1"/>
    <col min="15" max="15" width="16.54296875" customWidth="1"/>
    <col min="16" max="16" width="24.453125" customWidth="1"/>
    <col min="17" max="17" width="12.1796875" customWidth="1"/>
    <col min="18" max="18" width="19.81640625" customWidth="1"/>
  </cols>
  <sheetData>
    <row r="1" spans="1:20" x14ac:dyDescent="0.35">
      <c r="A1" t="s">
        <v>46</v>
      </c>
      <c r="B1" t="s">
        <v>47</v>
      </c>
      <c r="C1" t="s">
        <v>48</v>
      </c>
      <c r="D1" t="s">
        <v>49</v>
      </c>
      <c r="E1" s="1" t="s">
        <v>50</v>
      </c>
      <c r="F1" t="s">
        <v>51</v>
      </c>
      <c r="G1" t="s">
        <v>52</v>
      </c>
      <c r="H1" t="s">
        <v>53</v>
      </c>
      <c r="I1" t="s">
        <v>54</v>
      </c>
      <c r="J1" t="s">
        <v>30</v>
      </c>
      <c r="K1" t="s">
        <v>55</v>
      </c>
      <c r="L1" t="s">
        <v>56</v>
      </c>
      <c r="M1" t="s">
        <v>57</v>
      </c>
      <c r="N1" t="s">
        <v>58</v>
      </c>
      <c r="O1" t="s">
        <v>59</v>
      </c>
      <c r="P1" t="s">
        <v>60</v>
      </c>
      <c r="Q1" t="s">
        <v>61</v>
      </c>
      <c r="R1" t="s">
        <v>62</v>
      </c>
      <c r="S1" s="2" t="s">
        <v>63</v>
      </c>
      <c r="T1" s="2" t="s">
        <v>64</v>
      </c>
    </row>
    <row r="2" spans="1:20" x14ac:dyDescent="0.35">
      <c r="A2" t="s">
        <v>39</v>
      </c>
      <c r="B2">
        <v>91</v>
      </c>
      <c r="C2" t="s">
        <v>25</v>
      </c>
      <c r="D2">
        <v>52</v>
      </c>
      <c r="E2" s="1">
        <v>44570</v>
      </c>
      <c r="F2">
        <v>53</v>
      </c>
      <c r="G2">
        <v>54.88</v>
      </c>
      <c r="H2">
        <v>77</v>
      </c>
      <c r="I2">
        <v>4.3</v>
      </c>
      <c r="J2">
        <v>61.5</v>
      </c>
      <c r="K2">
        <v>69</v>
      </c>
      <c r="L2">
        <v>17.100000000000001</v>
      </c>
      <c r="M2" t="s">
        <v>27</v>
      </c>
      <c r="N2">
        <v>6.2</v>
      </c>
      <c r="O2" t="s">
        <v>21</v>
      </c>
      <c r="P2">
        <v>17.399999999999999</v>
      </c>
      <c r="Q2" t="s">
        <v>29</v>
      </c>
      <c r="R2">
        <v>22.2</v>
      </c>
      <c r="S2">
        <f>YEAR(Table1[[#This Row],[Visitor Date]])</f>
        <v>2022</v>
      </c>
      <c r="T2" t="str">
        <f>TEXT(Table1[[#This Row],[Visitor Date]],"MMM")</f>
        <v>Jan</v>
      </c>
    </row>
    <row r="3" spans="1:20" x14ac:dyDescent="0.35">
      <c r="A3" t="s">
        <v>39</v>
      </c>
      <c r="B3">
        <v>91</v>
      </c>
      <c r="C3" t="s">
        <v>18</v>
      </c>
      <c r="D3">
        <v>125</v>
      </c>
      <c r="E3" s="1">
        <v>44571</v>
      </c>
      <c r="F3">
        <v>30</v>
      </c>
      <c r="G3">
        <v>56.3</v>
      </c>
      <c r="H3">
        <v>73</v>
      </c>
      <c r="I3">
        <v>3.7</v>
      </c>
      <c r="J3">
        <v>59.2</v>
      </c>
      <c r="K3">
        <v>56</v>
      </c>
      <c r="L3">
        <v>16</v>
      </c>
      <c r="M3" t="s">
        <v>27</v>
      </c>
      <c r="N3">
        <v>6</v>
      </c>
      <c r="O3" t="s">
        <v>21</v>
      </c>
      <c r="P3">
        <v>16.8</v>
      </c>
      <c r="Q3" t="s">
        <v>29</v>
      </c>
      <c r="R3">
        <v>21.5</v>
      </c>
      <c r="S3">
        <f>YEAR(Table1[[#This Row],[Visitor Date]])</f>
        <v>2022</v>
      </c>
      <c r="T3" t="str">
        <f>TEXT(Table1[[#This Row],[Visitor Date]],"MMM")</f>
        <v>Jan</v>
      </c>
    </row>
    <row r="4" spans="1:20" x14ac:dyDescent="0.35">
      <c r="A4" t="s">
        <v>14</v>
      </c>
      <c r="B4">
        <v>44</v>
      </c>
      <c r="C4" t="s">
        <v>25</v>
      </c>
      <c r="D4">
        <v>45</v>
      </c>
      <c r="E4" s="1">
        <v>44572</v>
      </c>
      <c r="F4">
        <v>50</v>
      </c>
      <c r="G4">
        <v>91.47</v>
      </c>
      <c r="H4">
        <v>49</v>
      </c>
      <c r="I4">
        <v>2.9</v>
      </c>
      <c r="J4">
        <v>47.8</v>
      </c>
      <c r="K4">
        <v>33</v>
      </c>
      <c r="L4">
        <v>18</v>
      </c>
      <c r="M4" t="s">
        <v>14</v>
      </c>
      <c r="N4">
        <v>27.5</v>
      </c>
      <c r="O4" t="s">
        <v>21</v>
      </c>
      <c r="P4">
        <v>8.1</v>
      </c>
      <c r="Q4" t="s">
        <v>16</v>
      </c>
      <c r="R4">
        <v>6.9</v>
      </c>
      <c r="S4">
        <f>YEAR(Table1[[#This Row],[Visitor Date]])</f>
        <v>2022</v>
      </c>
      <c r="T4" t="str">
        <f>TEXT(Table1[[#This Row],[Visitor Date]],"MMM")</f>
        <v>Jan</v>
      </c>
    </row>
    <row r="5" spans="1:20" x14ac:dyDescent="0.35">
      <c r="A5" t="s">
        <v>14</v>
      </c>
      <c r="B5">
        <v>44</v>
      </c>
      <c r="C5" t="s">
        <v>18</v>
      </c>
      <c r="D5">
        <v>39</v>
      </c>
      <c r="E5" s="1">
        <v>44573</v>
      </c>
      <c r="F5">
        <v>42</v>
      </c>
      <c r="G5">
        <v>85.3</v>
      </c>
      <c r="H5">
        <v>35</v>
      </c>
      <c r="I5">
        <v>2.7</v>
      </c>
      <c r="J5">
        <v>45</v>
      </c>
      <c r="K5">
        <v>28</v>
      </c>
      <c r="L5">
        <v>17.5</v>
      </c>
      <c r="M5" t="s">
        <v>14</v>
      </c>
      <c r="N5">
        <v>26</v>
      </c>
      <c r="O5" t="s">
        <v>21</v>
      </c>
      <c r="P5">
        <v>7.5</v>
      </c>
      <c r="Q5" t="s">
        <v>16</v>
      </c>
      <c r="R5">
        <v>6.3</v>
      </c>
      <c r="S5">
        <f>YEAR(Table1[[#This Row],[Visitor Date]])</f>
        <v>2022</v>
      </c>
      <c r="T5" t="str">
        <f>TEXT(Table1[[#This Row],[Visitor Date]],"MMM")</f>
        <v>Jan</v>
      </c>
    </row>
    <row r="6" spans="1:20" x14ac:dyDescent="0.35">
      <c r="A6" t="s">
        <v>31</v>
      </c>
      <c r="B6">
        <v>26</v>
      </c>
      <c r="C6" t="s">
        <v>25</v>
      </c>
      <c r="E6" s="1">
        <v>44574</v>
      </c>
      <c r="F6">
        <v>9</v>
      </c>
      <c r="G6">
        <v>6.04</v>
      </c>
      <c r="H6">
        <v>78</v>
      </c>
      <c r="I6">
        <v>3.2</v>
      </c>
      <c r="J6">
        <v>48.7</v>
      </c>
      <c r="K6">
        <v>35</v>
      </c>
      <c r="L6">
        <v>5.8</v>
      </c>
      <c r="M6" t="s">
        <v>20</v>
      </c>
      <c r="N6">
        <v>23.6</v>
      </c>
      <c r="O6" t="s">
        <v>21</v>
      </c>
      <c r="P6">
        <v>18.399999999999999</v>
      </c>
      <c r="Q6" t="s">
        <v>29</v>
      </c>
      <c r="R6">
        <v>11.6</v>
      </c>
      <c r="S6">
        <f>YEAR(Table1[[#This Row],[Visitor Date]])</f>
        <v>2022</v>
      </c>
      <c r="T6" t="str">
        <f>TEXT(Table1[[#This Row],[Visitor Date]],"MMM")</f>
        <v>Jan</v>
      </c>
    </row>
    <row r="7" spans="1:20" x14ac:dyDescent="0.35">
      <c r="A7" t="s">
        <v>31</v>
      </c>
      <c r="B7">
        <v>26</v>
      </c>
      <c r="C7" t="s">
        <v>18</v>
      </c>
      <c r="D7">
        <v>35</v>
      </c>
      <c r="E7" s="1">
        <v>44575</v>
      </c>
      <c r="F7">
        <v>14</v>
      </c>
      <c r="G7">
        <v>7.5</v>
      </c>
      <c r="H7">
        <v>75</v>
      </c>
      <c r="I7">
        <v>3.1</v>
      </c>
      <c r="J7">
        <v>46.2</v>
      </c>
      <c r="K7">
        <v>29</v>
      </c>
      <c r="L7">
        <v>5.5</v>
      </c>
      <c r="M7" t="s">
        <v>20</v>
      </c>
      <c r="N7">
        <v>22</v>
      </c>
      <c r="O7" t="s">
        <v>21</v>
      </c>
      <c r="P7">
        <v>16.7</v>
      </c>
      <c r="Q7" t="s">
        <v>29</v>
      </c>
      <c r="R7">
        <v>10.8</v>
      </c>
      <c r="S7">
        <f>YEAR(Table1[[#This Row],[Visitor Date]])</f>
        <v>2022</v>
      </c>
      <c r="T7" t="str">
        <f>TEXT(Table1[[#This Row],[Visitor Date]],"MMM")</f>
        <v>Jan</v>
      </c>
    </row>
    <row r="8" spans="1:20" x14ac:dyDescent="0.35">
      <c r="A8" t="s">
        <v>11</v>
      </c>
      <c r="B8">
        <v>68</v>
      </c>
      <c r="C8" t="s">
        <v>25</v>
      </c>
      <c r="D8">
        <v>155</v>
      </c>
      <c r="E8" s="1">
        <v>44576</v>
      </c>
      <c r="F8">
        <v>15</v>
      </c>
      <c r="G8">
        <v>90</v>
      </c>
      <c r="H8">
        <v>54</v>
      </c>
      <c r="I8">
        <v>3.4</v>
      </c>
      <c r="J8">
        <v>67.8</v>
      </c>
      <c r="K8">
        <v>34</v>
      </c>
      <c r="L8">
        <v>11</v>
      </c>
      <c r="M8" t="s">
        <v>27</v>
      </c>
      <c r="N8">
        <v>5.3</v>
      </c>
      <c r="O8" t="s">
        <v>34</v>
      </c>
      <c r="P8">
        <v>20.5</v>
      </c>
      <c r="Q8" t="s">
        <v>16</v>
      </c>
      <c r="R8">
        <v>19.5</v>
      </c>
      <c r="S8">
        <f>YEAR(Table1[[#This Row],[Visitor Date]])</f>
        <v>2022</v>
      </c>
      <c r="T8" t="str">
        <f>TEXT(Table1[[#This Row],[Visitor Date]],"MMM")</f>
        <v>Jan</v>
      </c>
    </row>
    <row r="9" spans="1:20" x14ac:dyDescent="0.35">
      <c r="A9" t="s">
        <v>11</v>
      </c>
      <c r="B9">
        <v>68</v>
      </c>
      <c r="C9" t="s">
        <v>18</v>
      </c>
      <c r="D9">
        <v>28</v>
      </c>
      <c r="E9" s="1">
        <v>44577</v>
      </c>
      <c r="F9">
        <v>10</v>
      </c>
      <c r="G9">
        <v>88</v>
      </c>
      <c r="H9">
        <v>50</v>
      </c>
      <c r="I9">
        <v>3</v>
      </c>
      <c r="J9">
        <v>4</v>
      </c>
      <c r="K9">
        <v>28</v>
      </c>
      <c r="L9">
        <v>10.199999999999999</v>
      </c>
      <c r="M9" t="s">
        <v>27</v>
      </c>
      <c r="N9">
        <v>4.8</v>
      </c>
      <c r="O9" t="s">
        <v>34</v>
      </c>
      <c r="P9">
        <v>19.7</v>
      </c>
      <c r="Q9" t="s">
        <v>16</v>
      </c>
      <c r="R9">
        <v>18</v>
      </c>
      <c r="S9">
        <f>YEAR(Table1[[#This Row],[Visitor Date]])</f>
        <v>2022</v>
      </c>
      <c r="T9" t="str">
        <f>TEXT(Table1[[#This Row],[Visitor Date]],"MMM")</f>
        <v>Jan</v>
      </c>
    </row>
    <row r="10" spans="1:20" x14ac:dyDescent="0.35">
      <c r="A10" t="s">
        <v>36</v>
      </c>
      <c r="B10">
        <v>14</v>
      </c>
      <c r="C10" t="s">
        <v>25</v>
      </c>
      <c r="D10">
        <v>114</v>
      </c>
      <c r="E10" s="1">
        <v>44578</v>
      </c>
      <c r="F10">
        <v>17</v>
      </c>
      <c r="G10">
        <v>70.63</v>
      </c>
      <c r="H10">
        <v>41</v>
      </c>
      <c r="I10">
        <v>3.9</v>
      </c>
      <c r="J10">
        <v>59.4</v>
      </c>
      <c r="K10">
        <v>95</v>
      </c>
      <c r="L10">
        <v>15.6</v>
      </c>
      <c r="M10" t="s">
        <v>20</v>
      </c>
      <c r="N10">
        <v>23.7</v>
      </c>
      <c r="O10" t="s">
        <v>15</v>
      </c>
      <c r="P10">
        <v>15.6</v>
      </c>
      <c r="Q10" t="s">
        <v>16</v>
      </c>
      <c r="R10">
        <v>15.1</v>
      </c>
      <c r="S10">
        <f>YEAR(Table1[[#This Row],[Visitor Date]])</f>
        <v>2022</v>
      </c>
      <c r="T10" t="str">
        <f>TEXT(Table1[[#This Row],[Visitor Date]],"MMM")</f>
        <v>Jan</v>
      </c>
    </row>
    <row r="11" spans="1:20" x14ac:dyDescent="0.35">
      <c r="A11" t="s">
        <v>36</v>
      </c>
      <c r="B11">
        <v>14</v>
      </c>
      <c r="C11" t="s">
        <v>18</v>
      </c>
      <c r="D11">
        <v>11</v>
      </c>
      <c r="E11" s="1">
        <v>44579</v>
      </c>
      <c r="F11">
        <v>8</v>
      </c>
      <c r="G11">
        <v>65</v>
      </c>
      <c r="H11">
        <v>25</v>
      </c>
      <c r="I11">
        <v>3.6</v>
      </c>
      <c r="J11">
        <v>55</v>
      </c>
      <c r="K11">
        <v>65</v>
      </c>
      <c r="L11">
        <v>14</v>
      </c>
      <c r="M11" t="s">
        <v>20</v>
      </c>
      <c r="N11">
        <v>21.5</v>
      </c>
      <c r="O11" t="s">
        <v>15</v>
      </c>
      <c r="P11">
        <v>13.9</v>
      </c>
      <c r="Q11" t="s">
        <v>16</v>
      </c>
      <c r="R11">
        <v>14.2</v>
      </c>
      <c r="S11">
        <f>YEAR(Table1[[#This Row],[Visitor Date]])</f>
        <v>2022</v>
      </c>
      <c r="T11" t="str">
        <f>TEXT(Table1[[#This Row],[Visitor Date]],"MMM")</f>
        <v>Jan</v>
      </c>
    </row>
    <row r="12" spans="1:20" x14ac:dyDescent="0.35">
      <c r="A12" t="s">
        <v>24</v>
      </c>
      <c r="B12">
        <v>33</v>
      </c>
      <c r="C12" t="s">
        <v>25</v>
      </c>
      <c r="D12">
        <v>30</v>
      </c>
      <c r="E12" s="1">
        <v>44580</v>
      </c>
      <c r="F12">
        <v>18</v>
      </c>
      <c r="G12">
        <v>65.34</v>
      </c>
      <c r="H12">
        <v>15</v>
      </c>
      <c r="I12">
        <v>4.0999999999999996</v>
      </c>
      <c r="J12">
        <v>52.3</v>
      </c>
      <c r="K12">
        <v>94</v>
      </c>
      <c r="L12">
        <v>16.2</v>
      </c>
      <c r="M12" t="s">
        <v>14</v>
      </c>
      <c r="N12">
        <v>18.899999999999999</v>
      </c>
      <c r="O12" t="s">
        <v>28</v>
      </c>
      <c r="P12">
        <v>13.8</v>
      </c>
      <c r="Q12" t="s">
        <v>22</v>
      </c>
      <c r="R12">
        <v>10.7</v>
      </c>
      <c r="S12">
        <f>YEAR(Table1[[#This Row],[Visitor Date]])</f>
        <v>2022</v>
      </c>
      <c r="T12" t="str">
        <f>TEXT(Table1[[#This Row],[Visitor Date]],"MMM")</f>
        <v>Jan</v>
      </c>
    </row>
    <row r="13" spans="1:20" x14ac:dyDescent="0.35">
      <c r="A13" t="s">
        <v>24</v>
      </c>
      <c r="B13">
        <v>33</v>
      </c>
      <c r="C13" t="s">
        <v>18</v>
      </c>
      <c r="D13">
        <v>26</v>
      </c>
      <c r="E13" s="1">
        <v>44581</v>
      </c>
      <c r="F13">
        <v>13</v>
      </c>
      <c r="G13">
        <v>60.2</v>
      </c>
      <c r="H13">
        <v>16</v>
      </c>
      <c r="I13">
        <v>3.8</v>
      </c>
      <c r="J13">
        <v>50.5</v>
      </c>
      <c r="K13">
        <v>75</v>
      </c>
      <c r="L13">
        <v>15</v>
      </c>
      <c r="M13" t="s">
        <v>14</v>
      </c>
      <c r="N13">
        <v>17.8</v>
      </c>
      <c r="O13" t="s">
        <v>28</v>
      </c>
      <c r="P13">
        <v>12</v>
      </c>
      <c r="Q13" t="s">
        <v>22</v>
      </c>
      <c r="R13">
        <v>9.5</v>
      </c>
      <c r="S13">
        <f>YEAR(Table1[[#This Row],[Visitor Date]])</f>
        <v>2022</v>
      </c>
      <c r="T13" t="str">
        <f>TEXT(Table1[[#This Row],[Visitor Date]],"MMM")</f>
        <v>Jan</v>
      </c>
    </row>
    <row r="14" spans="1:20" x14ac:dyDescent="0.35">
      <c r="A14" t="s">
        <v>39</v>
      </c>
      <c r="B14">
        <v>91</v>
      </c>
      <c r="C14" t="s">
        <v>25</v>
      </c>
      <c r="D14">
        <v>45</v>
      </c>
      <c r="E14" s="1">
        <v>44582</v>
      </c>
      <c r="F14">
        <v>50</v>
      </c>
      <c r="G14">
        <v>54.88</v>
      </c>
      <c r="H14">
        <v>77</v>
      </c>
      <c r="I14">
        <v>4.2</v>
      </c>
      <c r="J14">
        <v>61.5</v>
      </c>
      <c r="K14">
        <v>68</v>
      </c>
      <c r="L14">
        <v>17.100000000000001</v>
      </c>
      <c r="M14" t="s">
        <v>27</v>
      </c>
      <c r="N14">
        <v>6.2</v>
      </c>
      <c r="O14" t="s">
        <v>21</v>
      </c>
      <c r="P14">
        <v>17.399999999999999</v>
      </c>
      <c r="Q14" t="s">
        <v>29</v>
      </c>
      <c r="R14">
        <v>22.2</v>
      </c>
      <c r="S14">
        <f>YEAR(Table1[[#This Row],[Visitor Date]])</f>
        <v>2022</v>
      </c>
      <c r="T14" t="str">
        <f>TEXT(Table1[[#This Row],[Visitor Date]],"MMM")</f>
        <v>Jan</v>
      </c>
    </row>
    <row r="15" spans="1:20" x14ac:dyDescent="0.35">
      <c r="A15" t="s">
        <v>39</v>
      </c>
      <c r="B15">
        <v>91</v>
      </c>
      <c r="C15" t="s">
        <v>18</v>
      </c>
      <c r="D15">
        <v>28</v>
      </c>
      <c r="E15" s="1">
        <v>44583</v>
      </c>
      <c r="F15">
        <v>33</v>
      </c>
      <c r="G15">
        <v>56.3</v>
      </c>
      <c r="H15">
        <v>73</v>
      </c>
      <c r="I15">
        <v>3.7</v>
      </c>
      <c r="J15">
        <v>59.2</v>
      </c>
      <c r="K15">
        <v>57</v>
      </c>
      <c r="L15">
        <v>16</v>
      </c>
      <c r="M15" t="s">
        <v>27</v>
      </c>
      <c r="N15">
        <v>6</v>
      </c>
      <c r="O15" t="s">
        <v>21</v>
      </c>
      <c r="P15">
        <v>16.8</v>
      </c>
      <c r="Q15" t="s">
        <v>29</v>
      </c>
      <c r="R15">
        <v>21.5</v>
      </c>
      <c r="S15">
        <f>YEAR(Table1[[#This Row],[Visitor Date]])</f>
        <v>2022</v>
      </c>
      <c r="T15" t="str">
        <f>TEXT(Table1[[#This Row],[Visitor Date]],"MMM")</f>
        <v>Jan</v>
      </c>
    </row>
    <row r="16" spans="1:20" x14ac:dyDescent="0.35">
      <c r="A16" t="s">
        <v>14</v>
      </c>
      <c r="B16">
        <v>44</v>
      </c>
      <c r="C16" t="s">
        <v>25</v>
      </c>
      <c r="D16">
        <v>42</v>
      </c>
      <c r="E16" s="1">
        <v>44584</v>
      </c>
      <c r="F16">
        <v>46</v>
      </c>
      <c r="G16">
        <v>91.47</v>
      </c>
      <c r="H16">
        <v>49</v>
      </c>
      <c r="I16">
        <v>2.9</v>
      </c>
      <c r="J16">
        <v>47.8</v>
      </c>
      <c r="K16">
        <v>31</v>
      </c>
      <c r="L16">
        <v>18</v>
      </c>
      <c r="M16" t="s">
        <v>14</v>
      </c>
      <c r="N16">
        <v>27.5</v>
      </c>
      <c r="O16" t="s">
        <v>21</v>
      </c>
      <c r="P16">
        <v>8.1</v>
      </c>
      <c r="Q16" t="s">
        <v>16</v>
      </c>
      <c r="R16">
        <v>6.9</v>
      </c>
      <c r="S16">
        <f>YEAR(Table1[[#This Row],[Visitor Date]])</f>
        <v>2022</v>
      </c>
      <c r="T16" t="str">
        <f>TEXT(Table1[[#This Row],[Visitor Date]],"MMM")</f>
        <v>Jan</v>
      </c>
    </row>
    <row r="17" spans="1:20" x14ac:dyDescent="0.35">
      <c r="A17" t="s">
        <v>14</v>
      </c>
      <c r="B17">
        <v>44</v>
      </c>
      <c r="C17" t="s">
        <v>18</v>
      </c>
      <c r="D17">
        <v>38</v>
      </c>
      <c r="E17" s="1">
        <v>44585</v>
      </c>
      <c r="F17">
        <v>35</v>
      </c>
      <c r="G17">
        <v>85.3</v>
      </c>
      <c r="H17">
        <v>35</v>
      </c>
      <c r="I17">
        <v>2.5</v>
      </c>
      <c r="J17">
        <v>45</v>
      </c>
      <c r="K17">
        <v>27</v>
      </c>
      <c r="L17">
        <v>17.5</v>
      </c>
      <c r="M17" t="s">
        <v>14</v>
      </c>
      <c r="N17">
        <v>26</v>
      </c>
      <c r="O17" t="s">
        <v>21</v>
      </c>
      <c r="P17">
        <v>7.5</v>
      </c>
      <c r="Q17" t="s">
        <v>16</v>
      </c>
      <c r="R17">
        <v>6.3</v>
      </c>
      <c r="S17">
        <f>YEAR(Table1[[#This Row],[Visitor Date]])</f>
        <v>2022</v>
      </c>
      <c r="T17" t="str">
        <f>TEXT(Table1[[#This Row],[Visitor Date]],"MMM")</f>
        <v>Jan</v>
      </c>
    </row>
    <row r="18" spans="1:20" x14ac:dyDescent="0.35">
      <c r="A18" t="s">
        <v>31</v>
      </c>
      <c r="B18">
        <v>26</v>
      </c>
      <c r="C18" t="s">
        <v>25</v>
      </c>
      <c r="D18">
        <v>35</v>
      </c>
      <c r="E18" s="1">
        <v>44586</v>
      </c>
      <c r="F18">
        <v>9</v>
      </c>
      <c r="G18">
        <v>6.04</v>
      </c>
      <c r="H18">
        <v>78</v>
      </c>
      <c r="I18">
        <v>3.4</v>
      </c>
      <c r="J18">
        <v>48.7</v>
      </c>
      <c r="K18">
        <v>36</v>
      </c>
      <c r="L18">
        <v>5.8</v>
      </c>
      <c r="M18" t="s">
        <v>20</v>
      </c>
      <c r="N18">
        <v>23.6</v>
      </c>
      <c r="O18" t="s">
        <v>21</v>
      </c>
      <c r="P18">
        <v>18.399999999999999</v>
      </c>
      <c r="Q18" t="s">
        <v>29</v>
      </c>
      <c r="R18">
        <v>11.6</v>
      </c>
      <c r="S18">
        <f>YEAR(Table1[[#This Row],[Visitor Date]])</f>
        <v>2022</v>
      </c>
      <c r="T18" t="str">
        <f>TEXT(Table1[[#This Row],[Visitor Date]],"MMM")</f>
        <v>Jan</v>
      </c>
    </row>
    <row r="19" spans="1:20" x14ac:dyDescent="0.35">
      <c r="A19" t="s">
        <v>31</v>
      </c>
      <c r="B19">
        <v>26</v>
      </c>
      <c r="C19" t="s">
        <v>18</v>
      </c>
      <c r="D19">
        <v>32</v>
      </c>
      <c r="E19" s="1">
        <v>44587</v>
      </c>
      <c r="F19">
        <v>12</v>
      </c>
      <c r="G19">
        <v>7.5</v>
      </c>
      <c r="H19">
        <v>75</v>
      </c>
      <c r="I19">
        <v>3</v>
      </c>
      <c r="J19">
        <v>46.2</v>
      </c>
      <c r="K19">
        <v>29</v>
      </c>
      <c r="L19">
        <v>5.5</v>
      </c>
      <c r="M19" t="s">
        <v>20</v>
      </c>
      <c r="N19">
        <v>22</v>
      </c>
      <c r="O19" t="s">
        <v>21</v>
      </c>
      <c r="P19">
        <v>16.7</v>
      </c>
      <c r="Q19" t="s">
        <v>29</v>
      </c>
      <c r="R19">
        <v>10.8</v>
      </c>
      <c r="S19">
        <f>YEAR(Table1[[#This Row],[Visitor Date]])</f>
        <v>2022</v>
      </c>
      <c r="T19" t="str">
        <f>TEXT(Table1[[#This Row],[Visitor Date]],"MMM")</f>
        <v>Jan</v>
      </c>
    </row>
    <row r="20" spans="1:20" x14ac:dyDescent="0.35">
      <c r="A20" t="s">
        <v>11</v>
      </c>
      <c r="B20">
        <v>68</v>
      </c>
      <c r="C20" t="s">
        <v>25</v>
      </c>
      <c r="D20">
        <v>150</v>
      </c>
      <c r="E20" s="1">
        <v>44588</v>
      </c>
      <c r="F20">
        <v>13</v>
      </c>
      <c r="G20">
        <v>90</v>
      </c>
      <c r="H20">
        <v>54</v>
      </c>
      <c r="I20">
        <v>3.5</v>
      </c>
      <c r="J20">
        <v>67.8</v>
      </c>
      <c r="K20">
        <v>33</v>
      </c>
      <c r="L20">
        <v>11</v>
      </c>
      <c r="M20" t="s">
        <v>27</v>
      </c>
      <c r="N20">
        <v>5.3</v>
      </c>
      <c r="O20" t="s">
        <v>34</v>
      </c>
      <c r="P20">
        <v>20.5</v>
      </c>
      <c r="Q20" t="s">
        <v>16</v>
      </c>
      <c r="R20">
        <v>19.5</v>
      </c>
      <c r="S20">
        <f>YEAR(Table1[[#This Row],[Visitor Date]])</f>
        <v>2022</v>
      </c>
      <c r="T20" t="str">
        <f>TEXT(Table1[[#This Row],[Visitor Date]],"MMM")</f>
        <v>Jan</v>
      </c>
    </row>
    <row r="21" spans="1:20" x14ac:dyDescent="0.35">
      <c r="A21" t="s">
        <v>11</v>
      </c>
      <c r="B21">
        <v>68</v>
      </c>
      <c r="C21" t="s">
        <v>18</v>
      </c>
      <c r="D21">
        <v>30</v>
      </c>
      <c r="E21" s="1">
        <v>44589</v>
      </c>
      <c r="F21">
        <v>11</v>
      </c>
      <c r="G21">
        <v>88</v>
      </c>
      <c r="H21">
        <v>50</v>
      </c>
      <c r="I21">
        <v>3.2</v>
      </c>
      <c r="J21">
        <v>64</v>
      </c>
      <c r="K21">
        <v>28</v>
      </c>
      <c r="L21">
        <v>10.199999999999999</v>
      </c>
      <c r="M21" t="s">
        <v>27</v>
      </c>
      <c r="N21">
        <v>4.8</v>
      </c>
      <c r="O21" t="s">
        <v>34</v>
      </c>
      <c r="P21">
        <v>19.7</v>
      </c>
      <c r="Q21" t="s">
        <v>16</v>
      </c>
      <c r="R21">
        <v>18</v>
      </c>
      <c r="S21">
        <f>YEAR(Table1[[#This Row],[Visitor Date]])</f>
        <v>2022</v>
      </c>
      <c r="T21" t="str">
        <f>TEXT(Table1[[#This Row],[Visitor Date]],"MMM")</f>
        <v>Jan</v>
      </c>
    </row>
    <row r="22" spans="1:20" x14ac:dyDescent="0.35">
      <c r="A22" t="s">
        <v>36</v>
      </c>
      <c r="B22">
        <v>14</v>
      </c>
      <c r="C22" t="s">
        <v>25</v>
      </c>
      <c r="D22">
        <v>12</v>
      </c>
      <c r="E22" s="1">
        <v>44590</v>
      </c>
      <c r="F22">
        <v>15</v>
      </c>
      <c r="G22">
        <v>70.63</v>
      </c>
      <c r="H22">
        <v>41</v>
      </c>
      <c r="I22">
        <v>3.9</v>
      </c>
      <c r="J22">
        <v>59.4</v>
      </c>
      <c r="K22">
        <v>90</v>
      </c>
      <c r="L22">
        <v>15.6</v>
      </c>
      <c r="M22" t="s">
        <v>20</v>
      </c>
      <c r="N22">
        <v>23.7</v>
      </c>
      <c r="O22" t="s">
        <v>15</v>
      </c>
      <c r="P22">
        <v>15.6</v>
      </c>
      <c r="Q22" t="s">
        <v>16</v>
      </c>
      <c r="R22">
        <v>15.1</v>
      </c>
      <c r="S22">
        <f>YEAR(Table1[[#This Row],[Visitor Date]])</f>
        <v>2022</v>
      </c>
      <c r="T22" t="str">
        <f>TEXT(Table1[[#This Row],[Visitor Date]],"MMM")</f>
        <v>Jan</v>
      </c>
    </row>
    <row r="23" spans="1:20" x14ac:dyDescent="0.35">
      <c r="A23" t="s">
        <v>36</v>
      </c>
      <c r="B23">
        <v>14</v>
      </c>
      <c r="C23" t="s">
        <v>18</v>
      </c>
      <c r="D23">
        <v>39</v>
      </c>
      <c r="E23" s="1">
        <v>44591</v>
      </c>
      <c r="F23">
        <v>9</v>
      </c>
      <c r="G23">
        <v>65</v>
      </c>
      <c r="H23">
        <v>25</v>
      </c>
      <c r="I23">
        <v>3.5</v>
      </c>
      <c r="J23">
        <v>55</v>
      </c>
      <c r="K23">
        <v>64</v>
      </c>
      <c r="L23">
        <v>14</v>
      </c>
      <c r="M23" t="s">
        <v>20</v>
      </c>
      <c r="N23">
        <v>21.5</v>
      </c>
      <c r="O23" t="s">
        <v>15</v>
      </c>
      <c r="P23">
        <v>13.9</v>
      </c>
      <c r="Q23" t="s">
        <v>16</v>
      </c>
      <c r="R23">
        <v>14.2</v>
      </c>
      <c r="S23">
        <f>YEAR(Table1[[#This Row],[Visitor Date]])</f>
        <v>2022</v>
      </c>
      <c r="T23" t="str">
        <f>TEXT(Table1[[#This Row],[Visitor Date]],"MMM")</f>
        <v>Jan</v>
      </c>
    </row>
    <row r="24" spans="1:20" x14ac:dyDescent="0.35">
      <c r="A24" t="s">
        <v>24</v>
      </c>
      <c r="B24">
        <v>33</v>
      </c>
      <c r="C24" t="s">
        <v>25</v>
      </c>
      <c r="D24">
        <v>134</v>
      </c>
      <c r="E24" s="1">
        <v>44592</v>
      </c>
      <c r="F24">
        <v>17</v>
      </c>
      <c r="G24">
        <v>65.34</v>
      </c>
      <c r="H24">
        <v>26</v>
      </c>
      <c r="I24">
        <v>4.0999999999999996</v>
      </c>
      <c r="J24">
        <v>52.3</v>
      </c>
      <c r="K24">
        <v>93</v>
      </c>
      <c r="L24">
        <v>16.2</v>
      </c>
      <c r="M24" t="s">
        <v>14</v>
      </c>
      <c r="N24">
        <v>18.899999999999999</v>
      </c>
      <c r="O24" t="s">
        <v>28</v>
      </c>
      <c r="P24">
        <v>13.8</v>
      </c>
      <c r="Q24" t="s">
        <v>22</v>
      </c>
      <c r="R24">
        <v>10.7</v>
      </c>
      <c r="S24">
        <f>YEAR(Table1[[#This Row],[Visitor Date]])</f>
        <v>2022</v>
      </c>
      <c r="T24" t="str">
        <f>TEXT(Table1[[#This Row],[Visitor Date]],"MMM")</f>
        <v>Jan</v>
      </c>
    </row>
    <row r="25" spans="1:20" x14ac:dyDescent="0.35">
      <c r="A25" t="s">
        <v>24</v>
      </c>
      <c r="B25">
        <v>33</v>
      </c>
      <c r="C25" t="s">
        <v>18</v>
      </c>
      <c r="D25">
        <v>27</v>
      </c>
      <c r="E25" s="1">
        <v>44593</v>
      </c>
      <c r="F25">
        <v>13</v>
      </c>
      <c r="G25">
        <v>60.2</v>
      </c>
      <c r="H25">
        <v>27</v>
      </c>
      <c r="I25">
        <v>3.6</v>
      </c>
      <c r="J25">
        <v>50.5</v>
      </c>
      <c r="K25">
        <v>76</v>
      </c>
      <c r="L25">
        <v>15</v>
      </c>
      <c r="M25" t="s">
        <v>14</v>
      </c>
      <c r="N25">
        <v>17.8</v>
      </c>
      <c r="O25" t="s">
        <v>28</v>
      </c>
      <c r="P25">
        <v>12</v>
      </c>
      <c r="Q25" t="s">
        <v>22</v>
      </c>
      <c r="R25">
        <v>9.5</v>
      </c>
      <c r="S25">
        <f>YEAR(Table1[[#This Row],[Visitor Date]])</f>
        <v>2022</v>
      </c>
      <c r="T25" t="str">
        <f>TEXT(Table1[[#This Row],[Visitor Date]],"MMM")</f>
        <v>Feb</v>
      </c>
    </row>
    <row r="26" spans="1:20" x14ac:dyDescent="0.35">
      <c r="A26" t="s">
        <v>39</v>
      </c>
      <c r="B26">
        <v>91</v>
      </c>
      <c r="C26" t="s">
        <v>25</v>
      </c>
      <c r="D26">
        <v>25</v>
      </c>
      <c r="E26" s="1">
        <v>44594</v>
      </c>
      <c r="F26">
        <v>47</v>
      </c>
      <c r="G26">
        <v>54.88</v>
      </c>
      <c r="H26">
        <v>77</v>
      </c>
      <c r="I26">
        <v>4.4000000000000004</v>
      </c>
      <c r="J26">
        <v>61.5</v>
      </c>
      <c r="K26">
        <v>66</v>
      </c>
      <c r="L26">
        <v>17.100000000000001</v>
      </c>
      <c r="M26" t="s">
        <v>27</v>
      </c>
      <c r="N26">
        <v>6.2</v>
      </c>
      <c r="O26" t="s">
        <v>21</v>
      </c>
      <c r="P26">
        <v>17.399999999999999</v>
      </c>
      <c r="Q26" t="s">
        <v>29</v>
      </c>
      <c r="R26">
        <v>22.2</v>
      </c>
      <c r="S26">
        <f>YEAR(Table1[[#This Row],[Visitor Date]])</f>
        <v>2022</v>
      </c>
      <c r="T26" t="str">
        <f>TEXT(Table1[[#This Row],[Visitor Date]],"MMM")</f>
        <v>Feb</v>
      </c>
    </row>
    <row r="27" spans="1:20" x14ac:dyDescent="0.35">
      <c r="A27" t="s">
        <v>39</v>
      </c>
      <c r="B27">
        <v>91</v>
      </c>
      <c r="C27" t="s">
        <v>18</v>
      </c>
      <c r="D27">
        <v>300</v>
      </c>
      <c r="E27" s="1">
        <v>44595</v>
      </c>
      <c r="F27">
        <v>35</v>
      </c>
      <c r="G27">
        <v>56.3</v>
      </c>
      <c r="H27">
        <v>73</v>
      </c>
      <c r="I27">
        <v>3.9</v>
      </c>
      <c r="J27">
        <v>59.2</v>
      </c>
      <c r="K27">
        <v>56</v>
      </c>
      <c r="L27">
        <v>16</v>
      </c>
      <c r="M27" t="s">
        <v>27</v>
      </c>
      <c r="N27">
        <v>6</v>
      </c>
      <c r="O27" t="s">
        <v>21</v>
      </c>
      <c r="P27">
        <v>16.8</v>
      </c>
      <c r="Q27" t="s">
        <v>29</v>
      </c>
      <c r="R27">
        <v>21.5</v>
      </c>
      <c r="S27">
        <f>YEAR(Table1[[#This Row],[Visitor Date]])</f>
        <v>2022</v>
      </c>
      <c r="T27" t="str">
        <f>TEXT(Table1[[#This Row],[Visitor Date]],"MMM")</f>
        <v>Feb</v>
      </c>
    </row>
    <row r="28" spans="1:20" x14ac:dyDescent="0.35">
      <c r="A28" t="s">
        <v>14</v>
      </c>
      <c r="B28">
        <v>44</v>
      </c>
      <c r="C28" t="s">
        <v>25</v>
      </c>
      <c r="D28">
        <v>78</v>
      </c>
      <c r="E28" s="1">
        <v>44596</v>
      </c>
      <c r="F28">
        <v>44</v>
      </c>
      <c r="G28">
        <v>91.47</v>
      </c>
      <c r="H28">
        <v>49</v>
      </c>
      <c r="I28">
        <v>2.7</v>
      </c>
      <c r="J28">
        <v>47.8</v>
      </c>
      <c r="K28">
        <v>32</v>
      </c>
      <c r="L28">
        <v>18</v>
      </c>
      <c r="M28" t="s">
        <v>14</v>
      </c>
      <c r="N28">
        <v>27.5</v>
      </c>
      <c r="O28" t="s">
        <v>21</v>
      </c>
      <c r="P28">
        <v>8.1</v>
      </c>
      <c r="Q28" t="s">
        <v>16</v>
      </c>
      <c r="R28">
        <v>6.9</v>
      </c>
      <c r="S28">
        <f>YEAR(Table1[[#This Row],[Visitor Date]])</f>
        <v>2022</v>
      </c>
      <c r="T28" t="str">
        <f>TEXT(Table1[[#This Row],[Visitor Date]],"MMM")</f>
        <v>Feb</v>
      </c>
    </row>
    <row r="29" spans="1:20" x14ac:dyDescent="0.35">
      <c r="A29" t="s">
        <v>14</v>
      </c>
      <c r="B29">
        <v>44</v>
      </c>
      <c r="C29" t="s">
        <v>18</v>
      </c>
      <c r="D29">
        <v>350</v>
      </c>
      <c r="E29" s="1">
        <v>44597</v>
      </c>
      <c r="F29">
        <v>32</v>
      </c>
      <c r="G29">
        <v>85.3</v>
      </c>
      <c r="H29">
        <v>35</v>
      </c>
      <c r="I29">
        <v>2.5</v>
      </c>
      <c r="J29">
        <v>45</v>
      </c>
      <c r="K29">
        <v>29</v>
      </c>
      <c r="L29">
        <v>17.5</v>
      </c>
      <c r="M29" t="s">
        <v>14</v>
      </c>
      <c r="N29">
        <v>26</v>
      </c>
      <c r="O29" t="s">
        <v>21</v>
      </c>
      <c r="P29">
        <v>7.5</v>
      </c>
      <c r="Q29" t="s">
        <v>16</v>
      </c>
      <c r="R29">
        <v>6.3</v>
      </c>
      <c r="S29">
        <f>YEAR(Table1[[#This Row],[Visitor Date]])</f>
        <v>2022</v>
      </c>
      <c r="T29" t="str">
        <f>TEXT(Table1[[#This Row],[Visitor Date]],"MMM")</f>
        <v>Feb</v>
      </c>
    </row>
    <row r="30" spans="1:20" x14ac:dyDescent="0.35">
      <c r="A30" t="s">
        <v>31</v>
      </c>
      <c r="B30">
        <v>26</v>
      </c>
      <c r="C30" t="s">
        <v>25</v>
      </c>
      <c r="D30">
        <v>27</v>
      </c>
      <c r="E30" s="1">
        <v>44598</v>
      </c>
      <c r="F30">
        <v>8</v>
      </c>
      <c r="G30">
        <v>6.04</v>
      </c>
      <c r="H30">
        <v>78</v>
      </c>
      <c r="I30">
        <v>3.2</v>
      </c>
      <c r="J30">
        <v>48.7</v>
      </c>
      <c r="K30">
        <v>34</v>
      </c>
      <c r="L30">
        <v>5.8</v>
      </c>
      <c r="M30" t="s">
        <v>20</v>
      </c>
      <c r="N30">
        <v>23.6</v>
      </c>
      <c r="O30" t="s">
        <v>21</v>
      </c>
      <c r="P30">
        <v>18.399999999999999</v>
      </c>
      <c r="Q30" t="s">
        <v>29</v>
      </c>
      <c r="R30">
        <v>11.6</v>
      </c>
      <c r="S30">
        <f>YEAR(Table1[[#This Row],[Visitor Date]])</f>
        <v>2022</v>
      </c>
      <c r="T30" t="str">
        <f>TEXT(Table1[[#This Row],[Visitor Date]],"MMM")</f>
        <v>Feb</v>
      </c>
    </row>
    <row r="31" spans="1:20" x14ac:dyDescent="0.35">
      <c r="A31" t="s">
        <v>31</v>
      </c>
      <c r="B31">
        <v>26</v>
      </c>
      <c r="C31" t="s">
        <v>18</v>
      </c>
      <c r="D31">
        <v>30</v>
      </c>
      <c r="E31" s="1">
        <v>44599</v>
      </c>
      <c r="F31">
        <v>10</v>
      </c>
      <c r="G31">
        <v>7.5</v>
      </c>
      <c r="H31">
        <v>75</v>
      </c>
      <c r="I31">
        <v>3</v>
      </c>
      <c r="J31">
        <v>46.2</v>
      </c>
      <c r="K31">
        <v>27</v>
      </c>
      <c r="L31">
        <v>5.5</v>
      </c>
      <c r="M31" t="s">
        <v>20</v>
      </c>
      <c r="N31">
        <v>22</v>
      </c>
      <c r="O31" t="s">
        <v>21</v>
      </c>
      <c r="P31">
        <v>16.7</v>
      </c>
      <c r="Q31" t="s">
        <v>29</v>
      </c>
      <c r="R31">
        <v>10.8</v>
      </c>
      <c r="S31">
        <f>YEAR(Table1[[#This Row],[Visitor Date]])</f>
        <v>2022</v>
      </c>
      <c r="T31" t="str">
        <f>TEXT(Table1[[#This Row],[Visitor Date]],"MMM")</f>
        <v>Feb</v>
      </c>
    </row>
    <row r="32" spans="1:20" x14ac:dyDescent="0.35">
      <c r="A32" t="s">
        <v>11</v>
      </c>
      <c r="B32">
        <v>68</v>
      </c>
      <c r="C32" t="s">
        <v>25</v>
      </c>
      <c r="D32">
        <v>439</v>
      </c>
      <c r="E32" s="1">
        <v>44600</v>
      </c>
      <c r="F32">
        <v>11</v>
      </c>
      <c r="G32">
        <v>90</v>
      </c>
      <c r="H32">
        <v>54</v>
      </c>
      <c r="I32">
        <v>3.3</v>
      </c>
      <c r="J32">
        <v>7.8</v>
      </c>
      <c r="K32">
        <v>33</v>
      </c>
      <c r="L32">
        <v>11</v>
      </c>
      <c r="M32" t="s">
        <v>27</v>
      </c>
      <c r="N32">
        <v>5.3</v>
      </c>
      <c r="O32" t="s">
        <v>34</v>
      </c>
      <c r="P32">
        <v>20.5</v>
      </c>
      <c r="Q32" t="s">
        <v>16</v>
      </c>
      <c r="R32">
        <v>19.5</v>
      </c>
      <c r="S32">
        <f>YEAR(Table1[[#This Row],[Visitor Date]])</f>
        <v>2022</v>
      </c>
      <c r="T32" t="str">
        <f>TEXT(Table1[[#This Row],[Visitor Date]],"MMM")</f>
        <v>Feb</v>
      </c>
    </row>
    <row r="33" spans="1:20" x14ac:dyDescent="0.35">
      <c r="A33" t="s">
        <v>11</v>
      </c>
      <c r="B33">
        <v>68</v>
      </c>
      <c r="C33" t="s">
        <v>18</v>
      </c>
      <c r="D33">
        <v>350</v>
      </c>
      <c r="E33" s="1">
        <v>44601</v>
      </c>
      <c r="F33">
        <v>9</v>
      </c>
      <c r="G33">
        <v>88</v>
      </c>
      <c r="H33">
        <v>50</v>
      </c>
      <c r="I33">
        <v>3.1</v>
      </c>
      <c r="J33">
        <v>64</v>
      </c>
      <c r="K33">
        <v>29</v>
      </c>
      <c r="L33">
        <v>10.199999999999999</v>
      </c>
      <c r="M33" t="s">
        <v>27</v>
      </c>
      <c r="N33">
        <v>4.8</v>
      </c>
      <c r="O33" t="s">
        <v>34</v>
      </c>
      <c r="P33">
        <v>19.7</v>
      </c>
      <c r="Q33" t="s">
        <v>16</v>
      </c>
      <c r="R33">
        <v>18</v>
      </c>
      <c r="S33">
        <f>YEAR(Table1[[#This Row],[Visitor Date]])</f>
        <v>2022</v>
      </c>
      <c r="T33" t="str">
        <f>TEXT(Table1[[#This Row],[Visitor Date]],"MMM")</f>
        <v>Feb</v>
      </c>
    </row>
    <row r="34" spans="1:20" x14ac:dyDescent="0.35">
      <c r="A34" t="s">
        <v>36</v>
      </c>
      <c r="B34">
        <v>14</v>
      </c>
      <c r="C34" t="s">
        <v>25</v>
      </c>
      <c r="D34">
        <v>50</v>
      </c>
      <c r="E34" s="1">
        <v>44602</v>
      </c>
      <c r="F34">
        <v>14</v>
      </c>
      <c r="G34">
        <v>70.63</v>
      </c>
      <c r="H34">
        <v>41</v>
      </c>
      <c r="I34">
        <v>3.9</v>
      </c>
      <c r="J34">
        <v>59.4</v>
      </c>
      <c r="K34">
        <v>89</v>
      </c>
      <c r="L34">
        <v>15.6</v>
      </c>
      <c r="M34" t="s">
        <v>20</v>
      </c>
      <c r="N34">
        <v>23.7</v>
      </c>
      <c r="O34" t="s">
        <v>15</v>
      </c>
      <c r="P34">
        <v>15.6</v>
      </c>
      <c r="Q34" t="s">
        <v>16</v>
      </c>
      <c r="R34">
        <v>15.1</v>
      </c>
      <c r="S34">
        <f>YEAR(Table1[[#This Row],[Visitor Date]])</f>
        <v>2022</v>
      </c>
      <c r="T34" t="str">
        <f>TEXT(Table1[[#This Row],[Visitor Date]],"MMM")</f>
        <v>Feb</v>
      </c>
    </row>
    <row r="35" spans="1:20" x14ac:dyDescent="0.35">
      <c r="A35" t="s">
        <v>36</v>
      </c>
      <c r="B35">
        <v>14</v>
      </c>
      <c r="C35" t="s">
        <v>18</v>
      </c>
      <c r="D35">
        <v>80</v>
      </c>
      <c r="E35" s="1">
        <v>44603</v>
      </c>
      <c r="F35">
        <v>10</v>
      </c>
      <c r="G35">
        <v>65</v>
      </c>
      <c r="H35">
        <v>25</v>
      </c>
      <c r="I35">
        <v>3.5</v>
      </c>
      <c r="J35">
        <v>55</v>
      </c>
      <c r="K35">
        <v>65</v>
      </c>
      <c r="L35">
        <v>14</v>
      </c>
      <c r="M35" t="s">
        <v>20</v>
      </c>
      <c r="N35">
        <v>21.5</v>
      </c>
      <c r="O35" t="s">
        <v>15</v>
      </c>
      <c r="P35">
        <v>13.9</v>
      </c>
      <c r="Q35" t="s">
        <v>16</v>
      </c>
      <c r="R35">
        <v>14.2</v>
      </c>
      <c r="S35">
        <f>YEAR(Table1[[#This Row],[Visitor Date]])</f>
        <v>2022</v>
      </c>
      <c r="T35" t="str">
        <f>TEXT(Table1[[#This Row],[Visitor Date]],"MMM")</f>
        <v>Feb</v>
      </c>
    </row>
    <row r="36" spans="1:20" x14ac:dyDescent="0.35">
      <c r="A36" t="s">
        <v>24</v>
      </c>
      <c r="B36">
        <v>33</v>
      </c>
      <c r="C36" t="s">
        <v>25</v>
      </c>
      <c r="D36">
        <v>87</v>
      </c>
      <c r="E36" s="1">
        <v>44604</v>
      </c>
      <c r="F36">
        <v>19</v>
      </c>
      <c r="G36">
        <v>65.34</v>
      </c>
      <c r="H36">
        <v>26</v>
      </c>
      <c r="I36">
        <v>4.0999999999999996</v>
      </c>
      <c r="J36">
        <v>52.3</v>
      </c>
      <c r="K36">
        <v>93</v>
      </c>
      <c r="L36">
        <v>16.2</v>
      </c>
      <c r="M36" t="s">
        <v>14</v>
      </c>
      <c r="N36">
        <v>18.899999999999999</v>
      </c>
      <c r="O36" t="s">
        <v>28</v>
      </c>
      <c r="P36">
        <v>13.8</v>
      </c>
      <c r="Q36" t="s">
        <v>22</v>
      </c>
      <c r="R36">
        <v>10.7</v>
      </c>
      <c r="S36">
        <f>YEAR(Table1[[#This Row],[Visitor Date]])</f>
        <v>2022</v>
      </c>
      <c r="T36" t="str">
        <f>TEXT(Table1[[#This Row],[Visitor Date]],"MMM")</f>
        <v>Feb</v>
      </c>
    </row>
    <row r="37" spans="1:20" x14ac:dyDescent="0.35">
      <c r="A37" t="s">
        <v>24</v>
      </c>
      <c r="B37">
        <v>33</v>
      </c>
      <c r="C37" t="s">
        <v>18</v>
      </c>
      <c r="D37">
        <v>250</v>
      </c>
      <c r="E37" s="1">
        <v>44605</v>
      </c>
      <c r="F37">
        <v>15</v>
      </c>
      <c r="G37">
        <v>60.2</v>
      </c>
      <c r="H37">
        <v>27</v>
      </c>
      <c r="I37">
        <v>3.8</v>
      </c>
      <c r="J37">
        <v>50.5</v>
      </c>
      <c r="K37">
        <v>75</v>
      </c>
      <c r="L37">
        <v>15</v>
      </c>
      <c r="M37" t="s">
        <v>14</v>
      </c>
      <c r="N37">
        <v>17.8</v>
      </c>
      <c r="O37" t="s">
        <v>28</v>
      </c>
      <c r="P37">
        <v>12</v>
      </c>
      <c r="Q37" t="s">
        <v>22</v>
      </c>
      <c r="R37">
        <v>9.5</v>
      </c>
      <c r="S37">
        <f>YEAR(Table1[[#This Row],[Visitor Date]])</f>
        <v>2022</v>
      </c>
      <c r="T37" t="str">
        <f>TEXT(Table1[[#This Row],[Visitor Date]],"MMM")</f>
        <v>Feb</v>
      </c>
    </row>
    <row r="38" spans="1:20" x14ac:dyDescent="0.35">
      <c r="A38" t="s">
        <v>39</v>
      </c>
      <c r="B38">
        <v>91</v>
      </c>
      <c r="C38" t="s">
        <v>25</v>
      </c>
      <c r="D38">
        <v>40</v>
      </c>
      <c r="E38" s="1">
        <v>44606</v>
      </c>
      <c r="F38">
        <v>47</v>
      </c>
      <c r="G38">
        <v>54.88</v>
      </c>
      <c r="H38">
        <v>77</v>
      </c>
      <c r="I38">
        <v>4.4000000000000004</v>
      </c>
      <c r="J38">
        <v>61.5</v>
      </c>
      <c r="K38">
        <v>66</v>
      </c>
      <c r="L38">
        <v>17.100000000000001</v>
      </c>
      <c r="M38" t="s">
        <v>27</v>
      </c>
      <c r="N38">
        <v>6.2</v>
      </c>
      <c r="O38" t="s">
        <v>21</v>
      </c>
      <c r="P38">
        <v>17.399999999999999</v>
      </c>
      <c r="Q38" t="s">
        <v>29</v>
      </c>
      <c r="R38">
        <v>22.2</v>
      </c>
      <c r="S38">
        <f>YEAR(Table1[[#This Row],[Visitor Date]])</f>
        <v>2022</v>
      </c>
      <c r="T38" t="str">
        <f>TEXT(Table1[[#This Row],[Visitor Date]],"MMM")</f>
        <v>Feb</v>
      </c>
    </row>
    <row r="39" spans="1:20" x14ac:dyDescent="0.35">
      <c r="A39" t="s">
        <v>39</v>
      </c>
      <c r="B39">
        <v>91</v>
      </c>
      <c r="C39" t="s">
        <v>18</v>
      </c>
      <c r="D39">
        <v>30</v>
      </c>
      <c r="E39" s="1">
        <v>44607</v>
      </c>
      <c r="F39">
        <v>35</v>
      </c>
      <c r="G39">
        <v>56.3</v>
      </c>
      <c r="H39">
        <v>73</v>
      </c>
      <c r="I39">
        <v>3.9</v>
      </c>
      <c r="J39">
        <v>59.2</v>
      </c>
      <c r="K39">
        <v>56</v>
      </c>
      <c r="L39">
        <v>16</v>
      </c>
      <c r="M39" t="s">
        <v>27</v>
      </c>
      <c r="N39">
        <v>6</v>
      </c>
      <c r="O39" t="s">
        <v>21</v>
      </c>
      <c r="P39">
        <v>16.8</v>
      </c>
      <c r="Q39" t="s">
        <v>29</v>
      </c>
      <c r="R39">
        <v>21.5</v>
      </c>
      <c r="S39">
        <f>YEAR(Table1[[#This Row],[Visitor Date]])</f>
        <v>2022</v>
      </c>
      <c r="T39" t="str">
        <f>TEXT(Table1[[#This Row],[Visitor Date]],"MMM")</f>
        <v>Feb</v>
      </c>
    </row>
    <row r="40" spans="1:20" x14ac:dyDescent="0.35">
      <c r="A40" t="s">
        <v>14</v>
      </c>
      <c r="B40">
        <v>44</v>
      </c>
      <c r="C40" t="s">
        <v>25</v>
      </c>
      <c r="D40">
        <v>46</v>
      </c>
      <c r="E40" s="1">
        <v>44608</v>
      </c>
      <c r="F40">
        <v>44</v>
      </c>
      <c r="G40">
        <v>91.47</v>
      </c>
      <c r="H40">
        <v>49</v>
      </c>
      <c r="I40">
        <v>2.7</v>
      </c>
      <c r="J40">
        <v>47.8</v>
      </c>
      <c r="K40">
        <v>32</v>
      </c>
      <c r="L40">
        <v>18</v>
      </c>
      <c r="M40" t="s">
        <v>14</v>
      </c>
      <c r="N40">
        <v>27.5</v>
      </c>
      <c r="O40" t="s">
        <v>21</v>
      </c>
      <c r="P40">
        <v>8.1</v>
      </c>
      <c r="Q40" t="s">
        <v>16</v>
      </c>
      <c r="R40">
        <v>6.9</v>
      </c>
      <c r="S40">
        <f>YEAR(Table1[[#This Row],[Visitor Date]])</f>
        <v>2022</v>
      </c>
      <c r="T40" t="str">
        <f>TEXT(Table1[[#This Row],[Visitor Date]],"MMM")</f>
        <v>Feb</v>
      </c>
    </row>
    <row r="41" spans="1:20" x14ac:dyDescent="0.35">
      <c r="A41" t="s">
        <v>14</v>
      </c>
      <c r="B41">
        <v>44</v>
      </c>
      <c r="C41" t="s">
        <v>18</v>
      </c>
      <c r="D41">
        <v>135</v>
      </c>
      <c r="E41" s="1">
        <v>44609</v>
      </c>
      <c r="F41">
        <v>32</v>
      </c>
      <c r="G41">
        <v>85.3</v>
      </c>
      <c r="H41">
        <v>35</v>
      </c>
      <c r="I41">
        <v>2.5</v>
      </c>
      <c r="J41">
        <v>45</v>
      </c>
      <c r="K41">
        <v>29</v>
      </c>
      <c r="L41">
        <v>17.5</v>
      </c>
      <c r="M41" t="s">
        <v>14</v>
      </c>
      <c r="N41">
        <v>26</v>
      </c>
      <c r="O41" t="s">
        <v>21</v>
      </c>
      <c r="P41">
        <v>7.5</v>
      </c>
      <c r="Q41" t="s">
        <v>16</v>
      </c>
      <c r="R41">
        <v>6.3</v>
      </c>
      <c r="S41">
        <f>YEAR(Table1[[#This Row],[Visitor Date]])</f>
        <v>2022</v>
      </c>
      <c r="T41" t="str">
        <f>TEXT(Table1[[#This Row],[Visitor Date]],"MMM")</f>
        <v>Feb</v>
      </c>
    </row>
    <row r="42" spans="1:20" x14ac:dyDescent="0.35">
      <c r="A42" t="s">
        <v>31</v>
      </c>
      <c r="B42">
        <v>26</v>
      </c>
      <c r="C42" t="s">
        <v>25</v>
      </c>
      <c r="D42">
        <v>42</v>
      </c>
      <c r="E42" s="1">
        <v>44610</v>
      </c>
      <c r="F42">
        <v>8</v>
      </c>
      <c r="G42">
        <v>6.04</v>
      </c>
      <c r="H42">
        <v>78</v>
      </c>
      <c r="I42">
        <v>3.2</v>
      </c>
      <c r="J42">
        <v>48.7</v>
      </c>
      <c r="K42">
        <v>34</v>
      </c>
      <c r="L42">
        <v>5.8</v>
      </c>
      <c r="M42" t="s">
        <v>20</v>
      </c>
      <c r="N42">
        <v>23.6</v>
      </c>
      <c r="O42" t="s">
        <v>21</v>
      </c>
      <c r="P42">
        <v>18.399999999999999</v>
      </c>
      <c r="Q42" t="s">
        <v>29</v>
      </c>
      <c r="R42">
        <v>11.6</v>
      </c>
      <c r="S42">
        <f>YEAR(Table1[[#This Row],[Visitor Date]])</f>
        <v>2022</v>
      </c>
      <c r="T42" t="str">
        <f>TEXT(Table1[[#This Row],[Visitor Date]],"MMM")</f>
        <v>Feb</v>
      </c>
    </row>
    <row r="43" spans="1:20" x14ac:dyDescent="0.35">
      <c r="A43" t="s">
        <v>31</v>
      </c>
      <c r="B43">
        <v>26</v>
      </c>
      <c r="C43" t="s">
        <v>18</v>
      </c>
      <c r="D43">
        <v>30</v>
      </c>
      <c r="E43" s="1">
        <v>44611</v>
      </c>
      <c r="F43">
        <v>10</v>
      </c>
      <c r="G43">
        <v>7.5</v>
      </c>
      <c r="H43">
        <v>75</v>
      </c>
      <c r="I43">
        <v>3</v>
      </c>
      <c r="J43">
        <v>46.2</v>
      </c>
      <c r="K43">
        <v>27</v>
      </c>
      <c r="L43">
        <v>5.5</v>
      </c>
      <c r="M43" t="s">
        <v>20</v>
      </c>
      <c r="N43">
        <v>22</v>
      </c>
      <c r="O43" t="s">
        <v>21</v>
      </c>
      <c r="P43">
        <v>16.7</v>
      </c>
      <c r="Q43" t="s">
        <v>29</v>
      </c>
      <c r="R43">
        <v>10.8</v>
      </c>
      <c r="S43">
        <f>YEAR(Table1[[#This Row],[Visitor Date]])</f>
        <v>2022</v>
      </c>
      <c r="T43" t="str">
        <f>TEXT(Table1[[#This Row],[Visitor Date]],"MMM")</f>
        <v>Feb</v>
      </c>
    </row>
    <row r="44" spans="1:20" x14ac:dyDescent="0.35">
      <c r="A44" t="s">
        <v>11</v>
      </c>
      <c r="B44">
        <v>68</v>
      </c>
      <c r="C44" t="s">
        <v>25</v>
      </c>
      <c r="D44">
        <v>43</v>
      </c>
      <c r="E44" s="1">
        <v>44612</v>
      </c>
      <c r="F44">
        <v>11</v>
      </c>
      <c r="G44">
        <v>90</v>
      </c>
      <c r="H44">
        <v>54</v>
      </c>
      <c r="I44">
        <v>3.3</v>
      </c>
      <c r="J44">
        <v>7.8</v>
      </c>
      <c r="K44">
        <v>33</v>
      </c>
      <c r="L44">
        <v>11</v>
      </c>
      <c r="M44" t="s">
        <v>27</v>
      </c>
      <c r="N44">
        <v>5.3</v>
      </c>
      <c r="O44" t="s">
        <v>34</v>
      </c>
      <c r="P44">
        <v>20.5</v>
      </c>
      <c r="Q44" t="s">
        <v>16</v>
      </c>
      <c r="R44">
        <v>19.5</v>
      </c>
      <c r="S44">
        <f>YEAR(Table1[[#This Row],[Visitor Date]])</f>
        <v>2022</v>
      </c>
      <c r="T44" t="str">
        <f>TEXT(Table1[[#This Row],[Visitor Date]],"MMM")</f>
        <v>Feb</v>
      </c>
    </row>
    <row r="45" spans="1:20" x14ac:dyDescent="0.35">
      <c r="A45" t="s">
        <v>11</v>
      </c>
      <c r="B45">
        <v>68</v>
      </c>
      <c r="C45" t="s">
        <v>18</v>
      </c>
      <c r="D45">
        <v>35</v>
      </c>
      <c r="E45" s="1">
        <v>44613</v>
      </c>
      <c r="F45">
        <v>9</v>
      </c>
      <c r="G45">
        <v>88</v>
      </c>
      <c r="H45">
        <v>50</v>
      </c>
      <c r="I45">
        <v>3.1</v>
      </c>
      <c r="J45">
        <v>4</v>
      </c>
      <c r="K45">
        <v>29</v>
      </c>
      <c r="L45">
        <v>10.199999999999999</v>
      </c>
      <c r="M45" t="s">
        <v>27</v>
      </c>
      <c r="N45">
        <v>4.8</v>
      </c>
      <c r="O45" t="s">
        <v>34</v>
      </c>
      <c r="P45">
        <v>19.7</v>
      </c>
      <c r="Q45" t="s">
        <v>16</v>
      </c>
      <c r="R45">
        <v>18</v>
      </c>
      <c r="S45">
        <f>YEAR(Table1[[#This Row],[Visitor Date]])</f>
        <v>2022</v>
      </c>
      <c r="T45" t="str">
        <f>TEXT(Table1[[#This Row],[Visitor Date]],"MMM")</f>
        <v>Feb</v>
      </c>
    </row>
    <row r="46" spans="1:20" x14ac:dyDescent="0.35">
      <c r="A46" t="s">
        <v>36</v>
      </c>
      <c r="B46">
        <v>14</v>
      </c>
      <c r="C46" t="s">
        <v>25</v>
      </c>
      <c r="D46">
        <v>100</v>
      </c>
      <c r="E46" s="1">
        <v>44614</v>
      </c>
      <c r="F46">
        <v>14</v>
      </c>
      <c r="G46">
        <v>70.63</v>
      </c>
      <c r="H46">
        <v>41</v>
      </c>
      <c r="I46">
        <v>3.9</v>
      </c>
      <c r="J46">
        <v>59.4</v>
      </c>
      <c r="K46">
        <v>89</v>
      </c>
      <c r="L46">
        <v>15.6</v>
      </c>
      <c r="M46" t="s">
        <v>20</v>
      </c>
      <c r="N46">
        <v>23.7</v>
      </c>
      <c r="O46" t="s">
        <v>15</v>
      </c>
      <c r="P46">
        <v>15.6</v>
      </c>
      <c r="Q46" t="s">
        <v>16</v>
      </c>
      <c r="R46">
        <v>15.1</v>
      </c>
      <c r="S46">
        <f>YEAR(Table1[[#This Row],[Visitor Date]])</f>
        <v>2022</v>
      </c>
      <c r="T46" t="str">
        <f>TEXT(Table1[[#This Row],[Visitor Date]],"MMM")</f>
        <v>Feb</v>
      </c>
    </row>
    <row r="47" spans="1:20" x14ac:dyDescent="0.35">
      <c r="A47" t="s">
        <v>36</v>
      </c>
      <c r="B47">
        <v>14</v>
      </c>
      <c r="C47" t="s">
        <v>18</v>
      </c>
      <c r="D47">
        <v>8</v>
      </c>
      <c r="E47" s="1">
        <v>44615</v>
      </c>
      <c r="F47">
        <v>10</v>
      </c>
      <c r="G47">
        <v>65</v>
      </c>
      <c r="H47">
        <v>25</v>
      </c>
      <c r="I47">
        <v>3.5</v>
      </c>
      <c r="J47">
        <v>55</v>
      </c>
      <c r="K47">
        <v>65</v>
      </c>
      <c r="L47">
        <v>14</v>
      </c>
      <c r="M47" t="s">
        <v>20</v>
      </c>
      <c r="N47">
        <v>21.5</v>
      </c>
      <c r="O47" t="s">
        <v>15</v>
      </c>
      <c r="P47">
        <v>13.9</v>
      </c>
      <c r="Q47" t="s">
        <v>16</v>
      </c>
      <c r="R47">
        <v>14.2</v>
      </c>
      <c r="S47">
        <f>YEAR(Table1[[#This Row],[Visitor Date]])</f>
        <v>2022</v>
      </c>
      <c r="T47" t="str">
        <f>TEXT(Table1[[#This Row],[Visitor Date]],"MMM")</f>
        <v>Feb</v>
      </c>
    </row>
    <row r="48" spans="1:20" x14ac:dyDescent="0.35">
      <c r="A48" t="s">
        <v>24</v>
      </c>
      <c r="B48">
        <v>33</v>
      </c>
      <c r="C48" t="s">
        <v>25</v>
      </c>
      <c r="D48">
        <v>38</v>
      </c>
      <c r="E48" s="1">
        <v>44616</v>
      </c>
      <c r="F48">
        <v>19</v>
      </c>
      <c r="G48">
        <v>65.34</v>
      </c>
      <c r="H48">
        <v>26</v>
      </c>
      <c r="I48">
        <v>4.0999999999999996</v>
      </c>
      <c r="J48">
        <v>20</v>
      </c>
      <c r="K48">
        <v>93</v>
      </c>
      <c r="L48">
        <v>16.2</v>
      </c>
      <c r="M48" t="s">
        <v>14</v>
      </c>
      <c r="N48">
        <v>18.899999999999999</v>
      </c>
      <c r="O48" t="s">
        <v>28</v>
      </c>
      <c r="P48">
        <v>13.8</v>
      </c>
      <c r="Q48" t="s">
        <v>22</v>
      </c>
      <c r="R48">
        <v>10.7</v>
      </c>
      <c r="S48">
        <f>YEAR(Table1[[#This Row],[Visitor Date]])</f>
        <v>2022</v>
      </c>
      <c r="T48" t="str">
        <f>TEXT(Table1[[#This Row],[Visitor Date]],"MMM")</f>
        <v>Feb</v>
      </c>
    </row>
    <row r="49" spans="1:20" x14ac:dyDescent="0.35">
      <c r="A49" t="s">
        <v>24</v>
      </c>
      <c r="B49">
        <v>33</v>
      </c>
      <c r="C49" t="s">
        <v>18</v>
      </c>
      <c r="D49">
        <v>25</v>
      </c>
      <c r="E49" s="1">
        <v>44617</v>
      </c>
      <c r="F49">
        <v>15</v>
      </c>
      <c r="G49">
        <v>60.2</v>
      </c>
      <c r="H49">
        <v>27</v>
      </c>
      <c r="I49">
        <v>3.8</v>
      </c>
      <c r="J49">
        <v>50.5</v>
      </c>
      <c r="K49">
        <v>75</v>
      </c>
      <c r="L49">
        <v>15</v>
      </c>
      <c r="M49" t="s">
        <v>14</v>
      </c>
      <c r="N49">
        <v>17.8</v>
      </c>
      <c r="O49" t="s">
        <v>28</v>
      </c>
      <c r="P49">
        <v>12</v>
      </c>
      <c r="Q49" t="s">
        <v>22</v>
      </c>
      <c r="R49">
        <v>9.5</v>
      </c>
      <c r="S49">
        <f>YEAR(Table1[[#This Row],[Visitor Date]])</f>
        <v>2022</v>
      </c>
      <c r="T49" t="str">
        <f>TEXT(Table1[[#This Row],[Visitor Date]],"MMM")</f>
        <v>Feb</v>
      </c>
    </row>
    <row r="50" spans="1:20" x14ac:dyDescent="0.35">
      <c r="A50" t="s">
        <v>39</v>
      </c>
      <c r="B50">
        <v>91</v>
      </c>
      <c r="C50" t="s">
        <v>25</v>
      </c>
      <c r="D50">
        <v>40</v>
      </c>
      <c r="E50" s="1">
        <v>44618</v>
      </c>
      <c r="F50">
        <v>47</v>
      </c>
      <c r="G50">
        <v>54.88</v>
      </c>
      <c r="H50">
        <v>77</v>
      </c>
      <c r="I50">
        <v>4.4000000000000004</v>
      </c>
      <c r="J50">
        <v>1.5</v>
      </c>
      <c r="K50">
        <v>66</v>
      </c>
      <c r="L50">
        <v>17.100000000000001</v>
      </c>
      <c r="M50" t="s">
        <v>27</v>
      </c>
      <c r="N50">
        <v>6.2</v>
      </c>
      <c r="O50" t="s">
        <v>21</v>
      </c>
      <c r="P50">
        <v>17.399999999999999</v>
      </c>
      <c r="Q50" t="s">
        <v>29</v>
      </c>
      <c r="R50">
        <v>22.2</v>
      </c>
      <c r="S50">
        <f>YEAR(Table1[[#This Row],[Visitor Date]])</f>
        <v>2022</v>
      </c>
      <c r="T50" t="str">
        <f>TEXT(Table1[[#This Row],[Visitor Date]],"MMM")</f>
        <v>Feb</v>
      </c>
    </row>
    <row r="51" spans="1:20" x14ac:dyDescent="0.35">
      <c r="A51" t="s">
        <v>39</v>
      </c>
      <c r="B51">
        <v>91</v>
      </c>
      <c r="C51" t="s">
        <v>18</v>
      </c>
      <c r="D51">
        <v>30</v>
      </c>
      <c r="E51" s="1">
        <v>44619</v>
      </c>
      <c r="F51">
        <v>35</v>
      </c>
      <c r="G51">
        <v>56.3</v>
      </c>
      <c r="H51">
        <v>73</v>
      </c>
      <c r="I51">
        <v>3.9</v>
      </c>
      <c r="J51">
        <v>59.2</v>
      </c>
      <c r="K51">
        <v>56</v>
      </c>
      <c r="L51">
        <v>16</v>
      </c>
      <c r="M51" t="s">
        <v>27</v>
      </c>
      <c r="N51">
        <v>6</v>
      </c>
      <c r="O51" t="s">
        <v>21</v>
      </c>
      <c r="P51">
        <v>16.8</v>
      </c>
      <c r="Q51" t="s">
        <v>29</v>
      </c>
      <c r="R51">
        <v>21.5</v>
      </c>
      <c r="S51">
        <f>YEAR(Table1[[#This Row],[Visitor Date]])</f>
        <v>2022</v>
      </c>
      <c r="T51" t="str">
        <f>TEXT(Table1[[#This Row],[Visitor Date]],"MMM")</f>
        <v>Feb</v>
      </c>
    </row>
    <row r="52" spans="1:20" x14ac:dyDescent="0.35">
      <c r="A52" t="s">
        <v>14</v>
      </c>
      <c r="B52">
        <v>44</v>
      </c>
      <c r="C52" t="s">
        <v>25</v>
      </c>
      <c r="D52">
        <v>46</v>
      </c>
      <c r="E52" s="1">
        <v>44620</v>
      </c>
      <c r="F52">
        <v>44</v>
      </c>
      <c r="G52">
        <v>91.47</v>
      </c>
      <c r="H52">
        <v>49</v>
      </c>
      <c r="I52">
        <v>2.7</v>
      </c>
      <c r="J52">
        <v>47.8</v>
      </c>
      <c r="K52">
        <v>32</v>
      </c>
      <c r="L52">
        <v>18</v>
      </c>
      <c r="M52" t="s">
        <v>14</v>
      </c>
      <c r="N52">
        <v>27.5</v>
      </c>
      <c r="O52" t="s">
        <v>21</v>
      </c>
      <c r="P52">
        <v>8.1</v>
      </c>
      <c r="Q52" t="s">
        <v>16</v>
      </c>
      <c r="R52">
        <v>6.9</v>
      </c>
      <c r="S52">
        <f>YEAR(Table1[[#This Row],[Visitor Date]])</f>
        <v>2022</v>
      </c>
      <c r="T52" t="str">
        <f>TEXT(Table1[[#This Row],[Visitor Date]],"MMM")</f>
        <v>Feb</v>
      </c>
    </row>
    <row r="53" spans="1:20" x14ac:dyDescent="0.35">
      <c r="A53" t="s">
        <v>14</v>
      </c>
      <c r="B53">
        <v>44</v>
      </c>
      <c r="C53" t="s">
        <v>18</v>
      </c>
      <c r="D53">
        <v>135</v>
      </c>
      <c r="E53" s="1">
        <v>44621</v>
      </c>
      <c r="F53">
        <v>32</v>
      </c>
      <c r="G53">
        <v>85.3</v>
      </c>
      <c r="H53">
        <v>35</v>
      </c>
      <c r="I53">
        <v>2.5</v>
      </c>
      <c r="J53">
        <v>45</v>
      </c>
      <c r="K53">
        <v>29</v>
      </c>
      <c r="L53">
        <v>17.5</v>
      </c>
      <c r="M53" t="s">
        <v>14</v>
      </c>
      <c r="N53">
        <v>26</v>
      </c>
      <c r="O53" t="s">
        <v>21</v>
      </c>
      <c r="P53">
        <v>7.5</v>
      </c>
      <c r="Q53" t="s">
        <v>16</v>
      </c>
      <c r="R53">
        <v>6.3</v>
      </c>
      <c r="S53">
        <f>YEAR(Table1[[#This Row],[Visitor Date]])</f>
        <v>2022</v>
      </c>
      <c r="T53" t="str">
        <f>TEXT(Table1[[#This Row],[Visitor Date]],"MMM")</f>
        <v>Mar</v>
      </c>
    </row>
    <row r="54" spans="1:20" x14ac:dyDescent="0.35">
      <c r="A54" t="s">
        <v>31</v>
      </c>
      <c r="B54">
        <v>26</v>
      </c>
      <c r="C54" t="s">
        <v>25</v>
      </c>
      <c r="D54">
        <v>42</v>
      </c>
      <c r="E54" s="1">
        <v>44622</v>
      </c>
      <c r="F54">
        <v>8</v>
      </c>
      <c r="G54">
        <v>6.04</v>
      </c>
      <c r="H54">
        <v>78</v>
      </c>
      <c r="I54">
        <v>3.2</v>
      </c>
      <c r="J54">
        <v>48.7</v>
      </c>
      <c r="K54">
        <v>34</v>
      </c>
      <c r="L54">
        <v>5.8</v>
      </c>
      <c r="M54" t="s">
        <v>20</v>
      </c>
      <c r="N54">
        <v>23.6</v>
      </c>
      <c r="O54" t="s">
        <v>21</v>
      </c>
      <c r="P54">
        <v>18.399999999999999</v>
      </c>
      <c r="Q54" t="s">
        <v>29</v>
      </c>
      <c r="R54">
        <v>11.6</v>
      </c>
      <c r="S54">
        <f>YEAR(Table1[[#This Row],[Visitor Date]])</f>
        <v>2022</v>
      </c>
      <c r="T54" t="str">
        <f>TEXT(Table1[[#This Row],[Visitor Date]],"MMM")</f>
        <v>Mar</v>
      </c>
    </row>
    <row r="55" spans="1:20" x14ac:dyDescent="0.35">
      <c r="A55" t="s">
        <v>31</v>
      </c>
      <c r="B55">
        <v>26</v>
      </c>
      <c r="C55" t="s">
        <v>18</v>
      </c>
      <c r="D55">
        <v>30</v>
      </c>
      <c r="E55" s="1">
        <v>44623</v>
      </c>
      <c r="F55">
        <v>10</v>
      </c>
      <c r="G55">
        <v>7.5</v>
      </c>
      <c r="H55">
        <v>75</v>
      </c>
      <c r="I55">
        <v>3</v>
      </c>
      <c r="J55">
        <v>46.2</v>
      </c>
      <c r="K55">
        <v>27</v>
      </c>
      <c r="L55">
        <v>5.5</v>
      </c>
      <c r="M55" t="s">
        <v>20</v>
      </c>
      <c r="N55">
        <v>22</v>
      </c>
      <c r="O55" t="s">
        <v>21</v>
      </c>
      <c r="P55">
        <v>16.7</v>
      </c>
      <c r="Q55" t="s">
        <v>29</v>
      </c>
      <c r="R55">
        <v>10.8</v>
      </c>
      <c r="S55">
        <f>YEAR(Table1[[#This Row],[Visitor Date]])</f>
        <v>2022</v>
      </c>
      <c r="T55" t="str">
        <f>TEXT(Table1[[#This Row],[Visitor Date]],"MMM")</f>
        <v>Mar</v>
      </c>
    </row>
    <row r="56" spans="1:20" x14ac:dyDescent="0.35">
      <c r="A56" t="s">
        <v>11</v>
      </c>
      <c r="B56">
        <v>68</v>
      </c>
      <c r="C56" t="s">
        <v>25</v>
      </c>
      <c r="D56">
        <v>143</v>
      </c>
      <c r="E56" s="1">
        <v>44624</v>
      </c>
      <c r="F56">
        <v>11</v>
      </c>
      <c r="G56">
        <v>90</v>
      </c>
      <c r="H56">
        <v>54</v>
      </c>
      <c r="I56">
        <v>3.3</v>
      </c>
      <c r="J56">
        <v>67.8</v>
      </c>
      <c r="K56">
        <v>33</v>
      </c>
      <c r="L56">
        <v>11</v>
      </c>
      <c r="M56" t="s">
        <v>27</v>
      </c>
      <c r="N56">
        <v>5.3</v>
      </c>
      <c r="O56" t="s">
        <v>34</v>
      </c>
      <c r="P56">
        <v>20.5</v>
      </c>
      <c r="Q56" t="s">
        <v>16</v>
      </c>
      <c r="R56">
        <v>19.5</v>
      </c>
      <c r="S56">
        <f>YEAR(Table1[[#This Row],[Visitor Date]])</f>
        <v>2022</v>
      </c>
      <c r="T56" t="str">
        <f>TEXT(Table1[[#This Row],[Visitor Date]],"MMM")</f>
        <v>Mar</v>
      </c>
    </row>
    <row r="57" spans="1:20" x14ac:dyDescent="0.35">
      <c r="A57" t="s">
        <v>11</v>
      </c>
      <c r="B57">
        <v>68</v>
      </c>
      <c r="C57" t="s">
        <v>18</v>
      </c>
      <c r="D57">
        <v>35</v>
      </c>
      <c r="E57" s="1">
        <v>44625</v>
      </c>
      <c r="F57">
        <v>9</v>
      </c>
      <c r="G57">
        <v>88</v>
      </c>
      <c r="H57">
        <v>50</v>
      </c>
      <c r="I57">
        <v>3.1</v>
      </c>
      <c r="J57">
        <v>64</v>
      </c>
      <c r="K57">
        <v>29</v>
      </c>
      <c r="L57">
        <v>10.199999999999999</v>
      </c>
      <c r="M57" t="s">
        <v>27</v>
      </c>
      <c r="N57">
        <v>4.8</v>
      </c>
      <c r="O57" t="s">
        <v>34</v>
      </c>
      <c r="P57">
        <v>19.7</v>
      </c>
      <c r="Q57" t="s">
        <v>16</v>
      </c>
      <c r="R57">
        <v>18</v>
      </c>
      <c r="S57">
        <f>YEAR(Table1[[#This Row],[Visitor Date]])</f>
        <v>2022</v>
      </c>
      <c r="T57" t="str">
        <f>TEXT(Table1[[#This Row],[Visitor Date]],"MMM")</f>
        <v>Mar</v>
      </c>
    </row>
    <row r="58" spans="1:20" x14ac:dyDescent="0.35">
      <c r="A58" t="s">
        <v>36</v>
      </c>
      <c r="B58">
        <v>14</v>
      </c>
      <c r="C58" t="s">
        <v>25</v>
      </c>
      <c r="D58">
        <v>10</v>
      </c>
      <c r="E58" s="1">
        <v>44626</v>
      </c>
      <c r="F58">
        <v>14</v>
      </c>
      <c r="G58">
        <v>70.63</v>
      </c>
      <c r="H58">
        <v>41</v>
      </c>
      <c r="I58">
        <v>3.9</v>
      </c>
      <c r="J58">
        <v>59.4</v>
      </c>
      <c r="K58">
        <v>89</v>
      </c>
      <c r="L58">
        <v>15.6</v>
      </c>
      <c r="M58" t="s">
        <v>20</v>
      </c>
      <c r="N58">
        <v>23.7</v>
      </c>
      <c r="O58" t="s">
        <v>15</v>
      </c>
      <c r="P58">
        <v>15.6</v>
      </c>
      <c r="Q58" t="s">
        <v>16</v>
      </c>
      <c r="R58">
        <v>15.1</v>
      </c>
      <c r="S58">
        <f>YEAR(Table1[[#This Row],[Visitor Date]])</f>
        <v>2022</v>
      </c>
      <c r="T58" t="str">
        <f>TEXT(Table1[[#This Row],[Visitor Date]],"MMM")</f>
        <v>Mar</v>
      </c>
    </row>
    <row r="59" spans="1:20" x14ac:dyDescent="0.35">
      <c r="A59" t="s">
        <v>36</v>
      </c>
      <c r="B59">
        <v>14</v>
      </c>
      <c r="C59" t="s">
        <v>18</v>
      </c>
      <c r="D59">
        <v>80</v>
      </c>
      <c r="E59" s="1">
        <v>44627</v>
      </c>
      <c r="F59">
        <v>10</v>
      </c>
      <c r="G59">
        <v>65</v>
      </c>
      <c r="H59">
        <v>25</v>
      </c>
      <c r="I59">
        <v>3.5</v>
      </c>
      <c r="J59">
        <v>55</v>
      </c>
      <c r="K59">
        <v>65</v>
      </c>
      <c r="L59">
        <v>14</v>
      </c>
      <c r="M59" t="s">
        <v>20</v>
      </c>
      <c r="N59">
        <v>21.5</v>
      </c>
      <c r="O59" t="s">
        <v>15</v>
      </c>
      <c r="P59">
        <v>13.9</v>
      </c>
      <c r="Q59" t="s">
        <v>16</v>
      </c>
      <c r="R59">
        <v>14.2</v>
      </c>
      <c r="S59">
        <f>YEAR(Table1[[#This Row],[Visitor Date]])</f>
        <v>2022</v>
      </c>
      <c r="T59" t="str">
        <f>TEXT(Table1[[#This Row],[Visitor Date]],"MMM")</f>
        <v>Mar</v>
      </c>
    </row>
    <row r="60" spans="1:20" x14ac:dyDescent="0.35">
      <c r="A60" t="s">
        <v>24</v>
      </c>
      <c r="B60">
        <v>33</v>
      </c>
      <c r="C60" t="s">
        <v>25</v>
      </c>
      <c r="D60">
        <v>38</v>
      </c>
      <c r="E60" s="1">
        <v>44628</v>
      </c>
      <c r="F60">
        <v>19</v>
      </c>
      <c r="G60">
        <v>65.34</v>
      </c>
      <c r="H60">
        <v>26</v>
      </c>
      <c r="I60">
        <v>4.0999999999999996</v>
      </c>
      <c r="J60">
        <v>52.3</v>
      </c>
      <c r="K60">
        <v>93</v>
      </c>
      <c r="L60">
        <v>16.2</v>
      </c>
      <c r="M60" t="s">
        <v>14</v>
      </c>
      <c r="N60">
        <v>18.899999999999999</v>
      </c>
      <c r="O60" t="s">
        <v>28</v>
      </c>
      <c r="P60">
        <v>13.8</v>
      </c>
      <c r="Q60" t="s">
        <v>22</v>
      </c>
      <c r="R60">
        <v>10.7</v>
      </c>
      <c r="S60">
        <f>YEAR(Table1[[#This Row],[Visitor Date]])</f>
        <v>2022</v>
      </c>
      <c r="T60" t="str">
        <f>TEXT(Table1[[#This Row],[Visitor Date]],"MMM")</f>
        <v>Mar</v>
      </c>
    </row>
    <row r="61" spans="1:20" x14ac:dyDescent="0.35">
      <c r="A61" t="s">
        <v>24</v>
      </c>
      <c r="B61">
        <v>33</v>
      </c>
      <c r="C61" t="s">
        <v>18</v>
      </c>
      <c r="D61">
        <v>125</v>
      </c>
      <c r="E61" s="1">
        <v>44629</v>
      </c>
      <c r="F61">
        <v>15</v>
      </c>
      <c r="G61">
        <v>60.2</v>
      </c>
      <c r="H61">
        <v>27</v>
      </c>
      <c r="I61">
        <v>3.8</v>
      </c>
      <c r="J61">
        <v>50.5</v>
      </c>
      <c r="K61">
        <v>75</v>
      </c>
      <c r="L61">
        <v>15</v>
      </c>
      <c r="M61" t="s">
        <v>14</v>
      </c>
      <c r="N61">
        <v>17.8</v>
      </c>
      <c r="O61" t="s">
        <v>28</v>
      </c>
      <c r="P61">
        <v>12</v>
      </c>
      <c r="Q61" t="s">
        <v>22</v>
      </c>
      <c r="R61">
        <v>9.5</v>
      </c>
      <c r="S61">
        <f>YEAR(Table1[[#This Row],[Visitor Date]])</f>
        <v>2022</v>
      </c>
      <c r="T61" t="str">
        <f>TEXT(Table1[[#This Row],[Visitor Date]],"MMM")</f>
        <v>Mar</v>
      </c>
    </row>
    <row r="62" spans="1:20" x14ac:dyDescent="0.35">
      <c r="A62" t="s">
        <v>39</v>
      </c>
      <c r="B62">
        <v>91</v>
      </c>
      <c r="C62" t="s">
        <v>25</v>
      </c>
      <c r="D62">
        <v>56</v>
      </c>
      <c r="E62" s="1">
        <v>44630</v>
      </c>
      <c r="F62">
        <v>55</v>
      </c>
      <c r="G62">
        <v>54.88</v>
      </c>
      <c r="H62">
        <v>77</v>
      </c>
      <c r="I62">
        <v>4.3</v>
      </c>
      <c r="J62">
        <v>1.5</v>
      </c>
      <c r="K62">
        <v>71</v>
      </c>
      <c r="L62">
        <v>17.100000000000001</v>
      </c>
      <c r="M62" t="s">
        <v>27</v>
      </c>
      <c r="N62">
        <v>6.2</v>
      </c>
      <c r="O62" t="s">
        <v>21</v>
      </c>
      <c r="P62">
        <v>17.399999999999999</v>
      </c>
      <c r="Q62" t="s">
        <v>29</v>
      </c>
      <c r="R62">
        <v>22.2</v>
      </c>
      <c r="S62">
        <f>YEAR(Table1[[#This Row],[Visitor Date]])</f>
        <v>2022</v>
      </c>
      <c r="T62" t="str">
        <f>TEXT(Table1[[#This Row],[Visitor Date]],"MMM")</f>
        <v>Mar</v>
      </c>
    </row>
    <row r="63" spans="1:20" x14ac:dyDescent="0.35">
      <c r="A63" t="s">
        <v>39</v>
      </c>
      <c r="B63">
        <v>91</v>
      </c>
      <c r="C63" t="s">
        <v>18</v>
      </c>
      <c r="D63">
        <v>24</v>
      </c>
      <c r="E63" s="1">
        <v>44631</v>
      </c>
      <c r="F63">
        <v>28</v>
      </c>
      <c r="G63">
        <v>56.3</v>
      </c>
      <c r="H63">
        <v>73</v>
      </c>
      <c r="I63">
        <v>3.5</v>
      </c>
      <c r="J63">
        <v>5</v>
      </c>
      <c r="K63">
        <v>55</v>
      </c>
      <c r="L63">
        <v>16</v>
      </c>
      <c r="M63" t="s">
        <v>27</v>
      </c>
      <c r="N63">
        <v>6</v>
      </c>
      <c r="O63" t="s">
        <v>21</v>
      </c>
      <c r="P63">
        <v>16.8</v>
      </c>
      <c r="Q63" t="s">
        <v>29</v>
      </c>
      <c r="R63">
        <v>21.5</v>
      </c>
      <c r="S63">
        <f>YEAR(Table1[[#This Row],[Visitor Date]])</f>
        <v>2022</v>
      </c>
      <c r="T63" t="str">
        <f>TEXT(Table1[[#This Row],[Visitor Date]],"MMM")</f>
        <v>Mar</v>
      </c>
    </row>
    <row r="64" spans="1:20" x14ac:dyDescent="0.35">
      <c r="A64" t="s">
        <v>14</v>
      </c>
      <c r="B64">
        <v>44</v>
      </c>
      <c r="C64" t="s">
        <v>25</v>
      </c>
      <c r="D64">
        <v>40</v>
      </c>
      <c r="E64" s="1">
        <v>44632</v>
      </c>
      <c r="F64">
        <v>48</v>
      </c>
      <c r="G64">
        <v>91.47</v>
      </c>
      <c r="H64">
        <v>49</v>
      </c>
      <c r="I64">
        <v>3</v>
      </c>
      <c r="J64">
        <v>47.8</v>
      </c>
      <c r="K64">
        <v>33</v>
      </c>
      <c r="L64">
        <v>18</v>
      </c>
      <c r="M64" t="s">
        <v>14</v>
      </c>
      <c r="N64">
        <v>27.5</v>
      </c>
      <c r="O64" t="s">
        <v>21</v>
      </c>
      <c r="P64">
        <v>8.1</v>
      </c>
      <c r="Q64" t="s">
        <v>16</v>
      </c>
      <c r="R64">
        <v>6.9</v>
      </c>
      <c r="S64">
        <f>YEAR(Table1[[#This Row],[Visitor Date]])</f>
        <v>2022</v>
      </c>
      <c r="T64" t="str">
        <f>TEXT(Table1[[#This Row],[Visitor Date]],"MMM")</f>
        <v>Mar</v>
      </c>
    </row>
    <row r="65" spans="1:20" x14ac:dyDescent="0.35">
      <c r="A65" t="s">
        <v>14</v>
      </c>
      <c r="B65">
        <v>44</v>
      </c>
      <c r="C65" t="s">
        <v>18</v>
      </c>
      <c r="D65">
        <v>37</v>
      </c>
      <c r="E65" s="1">
        <v>44633</v>
      </c>
      <c r="F65">
        <v>39</v>
      </c>
      <c r="G65">
        <v>85.3</v>
      </c>
      <c r="H65">
        <v>35</v>
      </c>
      <c r="I65">
        <v>2.8</v>
      </c>
      <c r="J65">
        <v>45</v>
      </c>
      <c r="K65">
        <v>28</v>
      </c>
      <c r="L65">
        <v>17.5</v>
      </c>
      <c r="M65" t="s">
        <v>14</v>
      </c>
      <c r="N65">
        <v>26</v>
      </c>
      <c r="O65" t="s">
        <v>21</v>
      </c>
      <c r="P65">
        <v>7.5</v>
      </c>
      <c r="Q65" t="s">
        <v>16</v>
      </c>
      <c r="R65">
        <v>6.3</v>
      </c>
      <c r="S65">
        <f>YEAR(Table1[[#This Row],[Visitor Date]])</f>
        <v>2022</v>
      </c>
      <c r="T65" t="str">
        <f>TEXT(Table1[[#This Row],[Visitor Date]],"MMM")</f>
        <v>Mar</v>
      </c>
    </row>
    <row r="66" spans="1:20" x14ac:dyDescent="0.35">
      <c r="A66" t="s">
        <v>31</v>
      </c>
      <c r="B66">
        <v>26</v>
      </c>
      <c r="C66" t="s">
        <v>25</v>
      </c>
      <c r="D66">
        <v>133</v>
      </c>
      <c r="E66" s="1">
        <v>44634</v>
      </c>
      <c r="F66">
        <v>10</v>
      </c>
      <c r="G66">
        <v>6.04</v>
      </c>
      <c r="H66">
        <v>78</v>
      </c>
      <c r="I66">
        <v>3.1</v>
      </c>
      <c r="J66">
        <v>48.7</v>
      </c>
      <c r="K66">
        <v>35</v>
      </c>
      <c r="L66">
        <v>5.8</v>
      </c>
      <c r="M66" t="s">
        <v>20</v>
      </c>
      <c r="N66">
        <v>23.6</v>
      </c>
      <c r="O66" t="s">
        <v>21</v>
      </c>
      <c r="P66">
        <v>18.399999999999999</v>
      </c>
      <c r="Q66" t="s">
        <v>29</v>
      </c>
      <c r="R66">
        <v>11.6</v>
      </c>
      <c r="S66">
        <f>YEAR(Table1[[#This Row],[Visitor Date]])</f>
        <v>2022</v>
      </c>
      <c r="T66" t="str">
        <f>TEXT(Table1[[#This Row],[Visitor Date]],"MMM")</f>
        <v>Mar</v>
      </c>
    </row>
    <row r="67" spans="1:20" x14ac:dyDescent="0.35">
      <c r="A67" t="s">
        <v>31</v>
      </c>
      <c r="B67">
        <v>26</v>
      </c>
      <c r="C67" t="s">
        <v>18</v>
      </c>
      <c r="D67">
        <v>39</v>
      </c>
      <c r="E67" s="1">
        <v>44635</v>
      </c>
      <c r="F67">
        <v>15</v>
      </c>
      <c r="G67">
        <v>7.5</v>
      </c>
      <c r="H67">
        <v>75</v>
      </c>
      <c r="I67">
        <v>3.2</v>
      </c>
      <c r="J67">
        <v>46.2</v>
      </c>
      <c r="K67">
        <v>30</v>
      </c>
      <c r="L67">
        <v>5.5</v>
      </c>
      <c r="M67" t="s">
        <v>20</v>
      </c>
      <c r="N67">
        <v>22</v>
      </c>
      <c r="O67" t="s">
        <v>21</v>
      </c>
      <c r="P67">
        <v>16.7</v>
      </c>
      <c r="Q67" t="s">
        <v>29</v>
      </c>
      <c r="R67">
        <v>10.8</v>
      </c>
      <c r="S67">
        <f>YEAR(Table1[[#This Row],[Visitor Date]])</f>
        <v>2022</v>
      </c>
      <c r="T67" t="str">
        <f>TEXT(Table1[[#This Row],[Visitor Date]],"MMM")</f>
        <v>Mar</v>
      </c>
    </row>
    <row r="68" spans="1:20" x14ac:dyDescent="0.35">
      <c r="A68" t="s">
        <v>11</v>
      </c>
      <c r="B68">
        <v>68</v>
      </c>
      <c r="C68" t="s">
        <v>25</v>
      </c>
      <c r="D68">
        <v>60</v>
      </c>
      <c r="E68" s="1">
        <v>44636</v>
      </c>
      <c r="F68">
        <v>16</v>
      </c>
      <c r="G68">
        <v>90</v>
      </c>
      <c r="H68">
        <v>54</v>
      </c>
      <c r="I68">
        <v>3.5</v>
      </c>
      <c r="J68">
        <v>67.8</v>
      </c>
      <c r="K68">
        <v>34</v>
      </c>
      <c r="L68">
        <v>11</v>
      </c>
      <c r="M68" t="s">
        <v>27</v>
      </c>
      <c r="N68">
        <v>5.3</v>
      </c>
      <c r="O68" t="s">
        <v>34</v>
      </c>
      <c r="P68">
        <v>20.5</v>
      </c>
      <c r="Q68" t="s">
        <v>16</v>
      </c>
      <c r="R68">
        <v>19.5</v>
      </c>
      <c r="S68">
        <f>YEAR(Table1[[#This Row],[Visitor Date]])</f>
        <v>2022</v>
      </c>
      <c r="T68" t="str">
        <f>TEXT(Table1[[#This Row],[Visitor Date]],"MMM")</f>
        <v>Mar</v>
      </c>
    </row>
    <row r="69" spans="1:20" x14ac:dyDescent="0.35">
      <c r="A69" t="s">
        <v>11</v>
      </c>
      <c r="B69">
        <v>68</v>
      </c>
      <c r="C69" t="s">
        <v>18</v>
      </c>
      <c r="D69">
        <v>333</v>
      </c>
      <c r="E69" s="1">
        <v>44637</v>
      </c>
      <c r="F69">
        <v>12</v>
      </c>
      <c r="G69">
        <v>88</v>
      </c>
      <c r="H69">
        <v>50</v>
      </c>
      <c r="I69">
        <v>3.2</v>
      </c>
      <c r="J69">
        <v>64</v>
      </c>
      <c r="K69">
        <v>29</v>
      </c>
      <c r="L69">
        <v>10.199999999999999</v>
      </c>
      <c r="M69" t="s">
        <v>27</v>
      </c>
      <c r="N69">
        <v>4.8</v>
      </c>
      <c r="O69" t="s">
        <v>34</v>
      </c>
      <c r="P69">
        <v>19.7</v>
      </c>
      <c r="Q69" t="s">
        <v>16</v>
      </c>
      <c r="R69">
        <v>18</v>
      </c>
      <c r="S69">
        <f>YEAR(Table1[[#This Row],[Visitor Date]])</f>
        <v>2022</v>
      </c>
      <c r="T69" t="str">
        <f>TEXT(Table1[[#This Row],[Visitor Date]],"MMM")</f>
        <v>Mar</v>
      </c>
    </row>
    <row r="70" spans="1:20" x14ac:dyDescent="0.35">
      <c r="A70" t="s">
        <v>36</v>
      </c>
      <c r="B70">
        <v>14</v>
      </c>
      <c r="C70" t="s">
        <v>25</v>
      </c>
      <c r="D70">
        <v>6</v>
      </c>
      <c r="E70" s="1">
        <v>44638</v>
      </c>
      <c r="F70">
        <v>18</v>
      </c>
      <c r="G70">
        <v>70.63</v>
      </c>
      <c r="H70">
        <v>41</v>
      </c>
      <c r="I70">
        <v>4.0999999999999996</v>
      </c>
      <c r="J70">
        <v>59.4</v>
      </c>
      <c r="K70">
        <v>95</v>
      </c>
      <c r="L70">
        <v>15.6</v>
      </c>
      <c r="M70" t="s">
        <v>20</v>
      </c>
      <c r="N70">
        <v>23.7</v>
      </c>
      <c r="O70" t="s">
        <v>15</v>
      </c>
      <c r="P70">
        <v>15.6</v>
      </c>
      <c r="Q70" t="s">
        <v>16</v>
      </c>
      <c r="R70">
        <v>15.1</v>
      </c>
      <c r="S70">
        <f>YEAR(Table1[[#This Row],[Visitor Date]])</f>
        <v>2022</v>
      </c>
      <c r="T70" t="str">
        <f>TEXT(Table1[[#This Row],[Visitor Date]],"MMM")</f>
        <v>Mar</v>
      </c>
    </row>
    <row r="71" spans="1:20" x14ac:dyDescent="0.35">
      <c r="A71" t="s">
        <v>36</v>
      </c>
      <c r="B71">
        <v>14</v>
      </c>
      <c r="C71" t="s">
        <v>18</v>
      </c>
      <c r="D71">
        <v>13</v>
      </c>
      <c r="E71" s="1">
        <v>44639</v>
      </c>
      <c r="F71">
        <v>9</v>
      </c>
      <c r="G71">
        <v>65</v>
      </c>
      <c r="H71">
        <v>25</v>
      </c>
      <c r="I71">
        <v>3.4</v>
      </c>
      <c r="J71">
        <v>55</v>
      </c>
      <c r="K71">
        <v>64</v>
      </c>
      <c r="L71">
        <v>14</v>
      </c>
      <c r="M71" t="s">
        <v>20</v>
      </c>
      <c r="N71">
        <v>21.5</v>
      </c>
      <c r="O71" t="s">
        <v>15</v>
      </c>
      <c r="P71">
        <v>13.9</v>
      </c>
      <c r="Q71" t="s">
        <v>16</v>
      </c>
      <c r="R71">
        <v>14.2</v>
      </c>
      <c r="S71">
        <f>YEAR(Table1[[#This Row],[Visitor Date]])</f>
        <v>2022</v>
      </c>
      <c r="T71" t="str">
        <f>TEXT(Table1[[#This Row],[Visitor Date]],"MMM")</f>
        <v>Mar</v>
      </c>
    </row>
    <row r="72" spans="1:20" x14ac:dyDescent="0.35">
      <c r="A72" t="s">
        <v>24</v>
      </c>
      <c r="B72">
        <v>33</v>
      </c>
      <c r="C72" t="s">
        <v>25</v>
      </c>
      <c r="D72">
        <v>32</v>
      </c>
      <c r="E72" s="1">
        <v>44640</v>
      </c>
      <c r="F72">
        <v>19</v>
      </c>
      <c r="G72">
        <v>65.34</v>
      </c>
      <c r="H72">
        <v>26</v>
      </c>
      <c r="I72">
        <v>4.2</v>
      </c>
      <c r="J72">
        <v>2</v>
      </c>
      <c r="K72">
        <v>94</v>
      </c>
      <c r="L72">
        <v>16.2</v>
      </c>
      <c r="M72" t="s">
        <v>14</v>
      </c>
      <c r="N72">
        <v>18.899999999999999</v>
      </c>
      <c r="O72" t="s">
        <v>28</v>
      </c>
      <c r="P72">
        <v>13.8</v>
      </c>
      <c r="Q72" t="s">
        <v>22</v>
      </c>
      <c r="R72">
        <v>10.7</v>
      </c>
      <c r="S72">
        <f>YEAR(Table1[[#This Row],[Visitor Date]])</f>
        <v>2022</v>
      </c>
      <c r="T72" t="str">
        <f>TEXT(Table1[[#This Row],[Visitor Date]],"MMM")</f>
        <v>Mar</v>
      </c>
    </row>
    <row r="73" spans="1:20" x14ac:dyDescent="0.35">
      <c r="A73" t="s">
        <v>24</v>
      </c>
      <c r="B73">
        <v>33</v>
      </c>
      <c r="C73" t="s">
        <v>18</v>
      </c>
      <c r="D73">
        <v>29</v>
      </c>
      <c r="E73" s="1">
        <v>44641</v>
      </c>
      <c r="F73">
        <v>14</v>
      </c>
      <c r="G73">
        <v>60.2</v>
      </c>
      <c r="H73">
        <v>27</v>
      </c>
      <c r="I73">
        <v>3.9</v>
      </c>
      <c r="J73">
        <v>50.5</v>
      </c>
      <c r="K73">
        <v>75</v>
      </c>
      <c r="L73">
        <v>15</v>
      </c>
      <c r="M73" t="s">
        <v>14</v>
      </c>
      <c r="N73">
        <v>17.8</v>
      </c>
      <c r="O73" t="s">
        <v>28</v>
      </c>
      <c r="P73">
        <v>12</v>
      </c>
      <c r="Q73" t="s">
        <v>22</v>
      </c>
      <c r="R73">
        <v>9.5</v>
      </c>
      <c r="S73">
        <f>YEAR(Table1[[#This Row],[Visitor Date]])</f>
        <v>2022</v>
      </c>
      <c r="T73" t="str">
        <f>TEXT(Table1[[#This Row],[Visitor Date]],"MMM")</f>
        <v>Mar</v>
      </c>
    </row>
    <row r="74" spans="1:20" x14ac:dyDescent="0.35">
      <c r="A74" t="s">
        <v>39</v>
      </c>
      <c r="B74">
        <v>91</v>
      </c>
      <c r="C74" t="s">
        <v>25</v>
      </c>
      <c r="D74">
        <v>156</v>
      </c>
      <c r="E74" s="1">
        <v>44642</v>
      </c>
      <c r="F74">
        <v>55</v>
      </c>
      <c r="G74">
        <v>54.88</v>
      </c>
      <c r="H74">
        <v>77</v>
      </c>
      <c r="I74">
        <v>4.3</v>
      </c>
      <c r="J74">
        <v>61.5</v>
      </c>
      <c r="K74">
        <v>71</v>
      </c>
      <c r="L74">
        <v>17.100000000000001</v>
      </c>
      <c r="M74" t="s">
        <v>27</v>
      </c>
      <c r="N74">
        <v>6.2</v>
      </c>
      <c r="O74" t="s">
        <v>21</v>
      </c>
      <c r="P74">
        <v>17.399999999999999</v>
      </c>
      <c r="Q74" t="s">
        <v>29</v>
      </c>
      <c r="R74">
        <v>22.2</v>
      </c>
      <c r="S74">
        <f>YEAR(Table1[[#This Row],[Visitor Date]])</f>
        <v>2022</v>
      </c>
      <c r="T74" t="str">
        <f>TEXT(Table1[[#This Row],[Visitor Date]],"MMM")</f>
        <v>Mar</v>
      </c>
    </row>
    <row r="75" spans="1:20" x14ac:dyDescent="0.35">
      <c r="A75" t="s">
        <v>39</v>
      </c>
      <c r="B75">
        <v>91</v>
      </c>
      <c r="C75" t="s">
        <v>18</v>
      </c>
      <c r="D75">
        <v>24</v>
      </c>
      <c r="E75" s="1">
        <v>44643</v>
      </c>
      <c r="F75">
        <v>28</v>
      </c>
      <c r="G75">
        <v>56.3</v>
      </c>
      <c r="H75">
        <v>73</v>
      </c>
      <c r="I75">
        <v>3.5</v>
      </c>
      <c r="J75">
        <v>59.2</v>
      </c>
      <c r="K75">
        <v>55</v>
      </c>
      <c r="L75">
        <v>16</v>
      </c>
      <c r="M75" t="s">
        <v>27</v>
      </c>
      <c r="N75">
        <v>6</v>
      </c>
      <c r="O75" t="s">
        <v>21</v>
      </c>
      <c r="P75">
        <v>16.8</v>
      </c>
      <c r="Q75" t="s">
        <v>29</v>
      </c>
      <c r="R75">
        <v>21.5</v>
      </c>
      <c r="S75">
        <f>YEAR(Table1[[#This Row],[Visitor Date]])</f>
        <v>2022</v>
      </c>
      <c r="T75" t="str">
        <f>TEXT(Table1[[#This Row],[Visitor Date]],"MMM")</f>
        <v>Mar</v>
      </c>
    </row>
    <row r="76" spans="1:20" x14ac:dyDescent="0.35">
      <c r="A76" t="s">
        <v>14</v>
      </c>
      <c r="B76">
        <v>44</v>
      </c>
      <c r="C76" t="s">
        <v>25</v>
      </c>
      <c r="D76">
        <v>40</v>
      </c>
      <c r="E76" s="1">
        <v>44644</v>
      </c>
      <c r="F76">
        <v>48</v>
      </c>
      <c r="G76">
        <v>91.47</v>
      </c>
      <c r="H76">
        <v>49</v>
      </c>
      <c r="I76">
        <v>3</v>
      </c>
      <c r="J76">
        <v>47.8</v>
      </c>
      <c r="K76">
        <v>33</v>
      </c>
      <c r="L76">
        <v>18</v>
      </c>
      <c r="M76" t="s">
        <v>14</v>
      </c>
      <c r="N76">
        <v>27.5</v>
      </c>
      <c r="O76" t="s">
        <v>21</v>
      </c>
      <c r="P76">
        <v>8.1</v>
      </c>
      <c r="Q76" t="s">
        <v>16</v>
      </c>
      <c r="R76">
        <v>6.9</v>
      </c>
      <c r="S76">
        <f>YEAR(Table1[[#This Row],[Visitor Date]])</f>
        <v>2022</v>
      </c>
      <c r="T76" t="str">
        <f>TEXT(Table1[[#This Row],[Visitor Date]],"MMM")</f>
        <v>Mar</v>
      </c>
    </row>
    <row r="77" spans="1:20" x14ac:dyDescent="0.35">
      <c r="A77" t="s">
        <v>14</v>
      </c>
      <c r="B77">
        <v>44</v>
      </c>
      <c r="C77" t="s">
        <v>18</v>
      </c>
      <c r="D77">
        <v>37</v>
      </c>
      <c r="E77" s="1">
        <v>44645</v>
      </c>
      <c r="F77">
        <v>39</v>
      </c>
      <c r="G77">
        <v>85.3</v>
      </c>
      <c r="H77">
        <v>35</v>
      </c>
      <c r="I77">
        <v>2.8</v>
      </c>
      <c r="J77">
        <v>45</v>
      </c>
      <c r="K77">
        <v>28</v>
      </c>
      <c r="L77">
        <v>17.5</v>
      </c>
      <c r="M77" t="s">
        <v>14</v>
      </c>
      <c r="N77">
        <v>26</v>
      </c>
      <c r="O77" t="s">
        <v>21</v>
      </c>
      <c r="P77">
        <v>7.5</v>
      </c>
      <c r="Q77" t="s">
        <v>16</v>
      </c>
      <c r="R77">
        <v>6.3</v>
      </c>
      <c r="S77">
        <f>YEAR(Table1[[#This Row],[Visitor Date]])</f>
        <v>2022</v>
      </c>
      <c r="T77" t="str">
        <f>TEXT(Table1[[#This Row],[Visitor Date]],"MMM")</f>
        <v>Mar</v>
      </c>
    </row>
    <row r="78" spans="1:20" x14ac:dyDescent="0.35">
      <c r="A78" t="s">
        <v>31</v>
      </c>
      <c r="B78">
        <v>26</v>
      </c>
      <c r="C78" t="s">
        <v>25</v>
      </c>
      <c r="D78">
        <v>33</v>
      </c>
      <c r="E78" s="1">
        <v>44646</v>
      </c>
      <c r="F78">
        <v>10</v>
      </c>
      <c r="G78">
        <v>6.04</v>
      </c>
      <c r="H78">
        <v>78</v>
      </c>
      <c r="I78">
        <v>3.1</v>
      </c>
      <c r="J78">
        <v>48.7</v>
      </c>
      <c r="K78">
        <v>35</v>
      </c>
      <c r="L78">
        <v>5.8</v>
      </c>
      <c r="M78" t="s">
        <v>20</v>
      </c>
      <c r="N78">
        <v>23.6</v>
      </c>
      <c r="O78" t="s">
        <v>21</v>
      </c>
      <c r="P78">
        <v>18.399999999999999</v>
      </c>
      <c r="Q78" t="s">
        <v>29</v>
      </c>
      <c r="R78">
        <v>11.6</v>
      </c>
      <c r="S78">
        <f>YEAR(Table1[[#This Row],[Visitor Date]])</f>
        <v>2022</v>
      </c>
      <c r="T78" t="str">
        <f>TEXT(Table1[[#This Row],[Visitor Date]],"MMM")</f>
        <v>Mar</v>
      </c>
    </row>
    <row r="79" spans="1:20" x14ac:dyDescent="0.35">
      <c r="A79" t="s">
        <v>31</v>
      </c>
      <c r="B79">
        <v>26</v>
      </c>
      <c r="C79" t="s">
        <v>18</v>
      </c>
      <c r="D79">
        <v>139</v>
      </c>
      <c r="E79" s="1">
        <v>44647</v>
      </c>
      <c r="F79">
        <v>15</v>
      </c>
      <c r="G79">
        <v>7.5</v>
      </c>
      <c r="H79">
        <v>75</v>
      </c>
      <c r="I79">
        <v>3.2</v>
      </c>
      <c r="J79">
        <v>46.2</v>
      </c>
      <c r="K79">
        <v>30</v>
      </c>
      <c r="L79">
        <v>5.5</v>
      </c>
      <c r="M79" t="s">
        <v>20</v>
      </c>
      <c r="N79">
        <v>22</v>
      </c>
      <c r="O79" t="s">
        <v>21</v>
      </c>
      <c r="P79">
        <v>16.7</v>
      </c>
      <c r="Q79" t="s">
        <v>29</v>
      </c>
      <c r="R79">
        <v>10.8</v>
      </c>
      <c r="S79">
        <f>YEAR(Table1[[#This Row],[Visitor Date]])</f>
        <v>2022</v>
      </c>
      <c r="T79" t="str">
        <f>TEXT(Table1[[#This Row],[Visitor Date]],"MMM")</f>
        <v>Mar</v>
      </c>
    </row>
    <row r="80" spans="1:20" x14ac:dyDescent="0.35">
      <c r="A80" t="s">
        <v>11</v>
      </c>
      <c r="B80">
        <v>68</v>
      </c>
      <c r="C80" t="s">
        <v>25</v>
      </c>
      <c r="D80">
        <v>160</v>
      </c>
      <c r="E80" s="1">
        <v>44648</v>
      </c>
      <c r="F80">
        <v>16</v>
      </c>
      <c r="G80">
        <v>90</v>
      </c>
      <c r="H80">
        <v>54</v>
      </c>
      <c r="I80">
        <v>3.5</v>
      </c>
      <c r="J80">
        <v>67.8</v>
      </c>
      <c r="K80">
        <v>34</v>
      </c>
      <c r="L80">
        <v>11</v>
      </c>
      <c r="M80" t="s">
        <v>27</v>
      </c>
      <c r="N80">
        <v>5.3</v>
      </c>
      <c r="O80" t="s">
        <v>34</v>
      </c>
      <c r="P80">
        <v>20.5</v>
      </c>
      <c r="Q80" t="s">
        <v>16</v>
      </c>
      <c r="R80">
        <v>19.5</v>
      </c>
      <c r="S80">
        <f>YEAR(Table1[[#This Row],[Visitor Date]])</f>
        <v>2022</v>
      </c>
      <c r="T80" t="str">
        <f>TEXT(Table1[[#This Row],[Visitor Date]],"MMM")</f>
        <v>Mar</v>
      </c>
    </row>
    <row r="81" spans="1:20" x14ac:dyDescent="0.35">
      <c r="A81" t="s">
        <v>11</v>
      </c>
      <c r="B81">
        <v>68</v>
      </c>
      <c r="C81" t="s">
        <v>18</v>
      </c>
      <c r="D81">
        <v>3</v>
      </c>
      <c r="E81" s="1">
        <v>44649</v>
      </c>
      <c r="F81">
        <v>12</v>
      </c>
      <c r="G81">
        <v>88</v>
      </c>
      <c r="H81">
        <v>50</v>
      </c>
      <c r="I81">
        <v>3.2</v>
      </c>
      <c r="J81">
        <v>4</v>
      </c>
      <c r="K81">
        <v>29</v>
      </c>
      <c r="L81">
        <v>10.199999999999999</v>
      </c>
      <c r="M81" t="s">
        <v>27</v>
      </c>
      <c r="N81">
        <v>4.8</v>
      </c>
      <c r="O81" t="s">
        <v>34</v>
      </c>
      <c r="P81">
        <v>19.7</v>
      </c>
      <c r="Q81" t="s">
        <v>16</v>
      </c>
      <c r="R81">
        <v>18</v>
      </c>
      <c r="S81">
        <f>YEAR(Table1[[#This Row],[Visitor Date]])</f>
        <v>2022</v>
      </c>
      <c r="T81" t="str">
        <f>TEXT(Table1[[#This Row],[Visitor Date]],"MMM")</f>
        <v>Mar</v>
      </c>
    </row>
    <row r="82" spans="1:20" x14ac:dyDescent="0.35">
      <c r="A82" t="s">
        <v>36</v>
      </c>
      <c r="B82">
        <v>14</v>
      </c>
      <c r="C82" t="s">
        <v>25</v>
      </c>
      <c r="D82">
        <v>6</v>
      </c>
      <c r="E82" s="1">
        <v>44650</v>
      </c>
      <c r="F82">
        <v>18</v>
      </c>
      <c r="G82">
        <v>70.63</v>
      </c>
      <c r="H82">
        <v>41</v>
      </c>
      <c r="I82">
        <v>4.0999999999999996</v>
      </c>
      <c r="J82">
        <v>59.4</v>
      </c>
      <c r="K82">
        <v>95</v>
      </c>
      <c r="L82">
        <v>15.6</v>
      </c>
      <c r="M82" t="s">
        <v>20</v>
      </c>
      <c r="N82">
        <v>23.7</v>
      </c>
      <c r="O82" t="s">
        <v>15</v>
      </c>
      <c r="P82">
        <v>15.6</v>
      </c>
      <c r="Q82" t="s">
        <v>16</v>
      </c>
      <c r="R82">
        <v>15.1</v>
      </c>
      <c r="S82">
        <f>YEAR(Table1[[#This Row],[Visitor Date]])</f>
        <v>2022</v>
      </c>
      <c r="T82" t="str">
        <f>TEXT(Table1[[#This Row],[Visitor Date]],"MMM")</f>
        <v>Mar</v>
      </c>
    </row>
    <row r="83" spans="1:20" x14ac:dyDescent="0.35">
      <c r="A83" t="s">
        <v>36</v>
      </c>
      <c r="B83">
        <v>14</v>
      </c>
      <c r="C83" t="s">
        <v>18</v>
      </c>
      <c r="D83">
        <v>3</v>
      </c>
      <c r="E83" s="1">
        <v>44651</v>
      </c>
      <c r="F83">
        <v>9</v>
      </c>
      <c r="G83">
        <v>65</v>
      </c>
      <c r="H83">
        <v>25</v>
      </c>
      <c r="I83">
        <v>3.4</v>
      </c>
      <c r="J83">
        <v>55</v>
      </c>
      <c r="K83">
        <v>64</v>
      </c>
      <c r="L83">
        <v>14</v>
      </c>
      <c r="M83" t="s">
        <v>20</v>
      </c>
      <c r="N83">
        <v>21.5</v>
      </c>
      <c r="O83" t="s">
        <v>15</v>
      </c>
      <c r="P83">
        <v>13.9</v>
      </c>
      <c r="Q83" t="s">
        <v>16</v>
      </c>
      <c r="R83">
        <v>14.2</v>
      </c>
      <c r="S83">
        <f>YEAR(Table1[[#This Row],[Visitor Date]])</f>
        <v>2022</v>
      </c>
      <c r="T83" t="str">
        <f>TEXT(Table1[[#This Row],[Visitor Date]],"MMM")</f>
        <v>Mar</v>
      </c>
    </row>
    <row r="84" spans="1:20" x14ac:dyDescent="0.35">
      <c r="A84" t="s">
        <v>24</v>
      </c>
      <c r="B84">
        <v>33</v>
      </c>
      <c r="C84" t="s">
        <v>25</v>
      </c>
      <c r="D84">
        <v>32</v>
      </c>
      <c r="E84" s="1">
        <v>44652</v>
      </c>
      <c r="F84">
        <v>19</v>
      </c>
      <c r="G84">
        <v>65.34</v>
      </c>
      <c r="H84">
        <v>26</v>
      </c>
      <c r="I84">
        <v>4.2</v>
      </c>
      <c r="J84">
        <v>52.3</v>
      </c>
      <c r="K84">
        <v>94</v>
      </c>
      <c r="L84">
        <v>16.2</v>
      </c>
      <c r="M84" t="s">
        <v>14</v>
      </c>
      <c r="N84">
        <v>18.899999999999999</v>
      </c>
      <c r="O84" t="s">
        <v>28</v>
      </c>
      <c r="P84">
        <v>13.8</v>
      </c>
      <c r="Q84" t="s">
        <v>22</v>
      </c>
      <c r="R84">
        <v>10.7</v>
      </c>
      <c r="S84">
        <f>YEAR(Table1[[#This Row],[Visitor Date]])</f>
        <v>2022</v>
      </c>
      <c r="T84" t="str">
        <f>TEXT(Table1[[#This Row],[Visitor Date]],"MMM")</f>
        <v>Apr</v>
      </c>
    </row>
    <row r="85" spans="1:20" x14ac:dyDescent="0.35">
      <c r="A85" t="s">
        <v>24</v>
      </c>
      <c r="B85">
        <v>33</v>
      </c>
      <c r="C85" t="s">
        <v>18</v>
      </c>
      <c r="D85">
        <v>129</v>
      </c>
      <c r="E85" s="1">
        <v>44653</v>
      </c>
      <c r="F85">
        <v>14</v>
      </c>
      <c r="G85">
        <v>60.2</v>
      </c>
      <c r="H85">
        <v>27</v>
      </c>
      <c r="I85">
        <v>3.9</v>
      </c>
      <c r="J85">
        <v>50.5</v>
      </c>
      <c r="K85">
        <v>75</v>
      </c>
      <c r="L85">
        <v>15</v>
      </c>
      <c r="M85" t="s">
        <v>14</v>
      </c>
      <c r="N85">
        <v>17.8</v>
      </c>
      <c r="O85" t="s">
        <v>28</v>
      </c>
      <c r="P85">
        <v>12</v>
      </c>
      <c r="Q85" t="s">
        <v>22</v>
      </c>
      <c r="R85">
        <v>9.5</v>
      </c>
      <c r="S85">
        <f>YEAR(Table1[[#This Row],[Visitor Date]])</f>
        <v>2022</v>
      </c>
      <c r="T85" t="str">
        <f>TEXT(Table1[[#This Row],[Visitor Date]],"MMM")</f>
        <v>Apr</v>
      </c>
    </row>
    <row r="86" spans="1:20" x14ac:dyDescent="0.35">
      <c r="A86" t="s">
        <v>39</v>
      </c>
      <c r="B86">
        <v>91</v>
      </c>
      <c r="C86" t="s">
        <v>25</v>
      </c>
      <c r="D86">
        <v>58</v>
      </c>
      <c r="E86" s="1">
        <v>44654</v>
      </c>
      <c r="F86">
        <v>54</v>
      </c>
      <c r="G86">
        <v>55.5</v>
      </c>
      <c r="H86">
        <v>77</v>
      </c>
      <c r="I86">
        <v>4.0999999999999996</v>
      </c>
      <c r="J86">
        <v>60</v>
      </c>
      <c r="K86">
        <v>72</v>
      </c>
      <c r="L86">
        <v>17.3</v>
      </c>
      <c r="M86" t="s">
        <v>27</v>
      </c>
      <c r="N86">
        <v>6.5</v>
      </c>
      <c r="O86" t="s">
        <v>21</v>
      </c>
      <c r="P86">
        <v>18.2</v>
      </c>
      <c r="Q86" t="s">
        <v>29</v>
      </c>
      <c r="R86">
        <v>23</v>
      </c>
      <c r="S86">
        <f>YEAR(Table1[[#This Row],[Visitor Date]])</f>
        <v>2022</v>
      </c>
      <c r="T86" t="str">
        <f>TEXT(Table1[[#This Row],[Visitor Date]],"MMM")</f>
        <v>Apr</v>
      </c>
    </row>
    <row r="87" spans="1:20" x14ac:dyDescent="0.35">
      <c r="A87" t="s">
        <v>39</v>
      </c>
      <c r="B87">
        <v>91</v>
      </c>
      <c r="C87" t="s">
        <v>18</v>
      </c>
      <c r="D87">
        <v>22</v>
      </c>
      <c r="E87" s="1">
        <v>44655</v>
      </c>
      <c r="F87">
        <v>26</v>
      </c>
      <c r="G87">
        <v>58</v>
      </c>
      <c r="H87">
        <v>70</v>
      </c>
      <c r="I87">
        <v>3.8</v>
      </c>
      <c r="J87">
        <v>58</v>
      </c>
      <c r="K87">
        <v>54</v>
      </c>
      <c r="L87">
        <v>15.5</v>
      </c>
      <c r="M87" t="s">
        <v>27</v>
      </c>
      <c r="N87">
        <v>5.8</v>
      </c>
      <c r="O87" t="s">
        <v>21</v>
      </c>
      <c r="P87">
        <v>15</v>
      </c>
      <c r="Q87" t="s">
        <v>29</v>
      </c>
      <c r="R87">
        <v>20</v>
      </c>
      <c r="S87">
        <f>YEAR(Table1[[#This Row],[Visitor Date]])</f>
        <v>2022</v>
      </c>
      <c r="T87" t="str">
        <f>TEXT(Table1[[#This Row],[Visitor Date]],"MMM")</f>
        <v>Apr</v>
      </c>
    </row>
    <row r="88" spans="1:20" x14ac:dyDescent="0.35">
      <c r="A88" t="s">
        <v>14</v>
      </c>
      <c r="B88">
        <v>44</v>
      </c>
      <c r="C88" t="s">
        <v>25</v>
      </c>
      <c r="D88">
        <v>45</v>
      </c>
      <c r="E88" s="1">
        <v>44656</v>
      </c>
      <c r="F88">
        <v>49</v>
      </c>
      <c r="G88">
        <v>90</v>
      </c>
      <c r="H88">
        <v>45</v>
      </c>
      <c r="I88">
        <v>3.1</v>
      </c>
      <c r="J88">
        <v>48.5</v>
      </c>
      <c r="K88">
        <v>33</v>
      </c>
      <c r="L88">
        <v>18.5</v>
      </c>
      <c r="M88" t="s">
        <v>14</v>
      </c>
      <c r="N88">
        <v>25</v>
      </c>
      <c r="O88" t="s">
        <v>21</v>
      </c>
      <c r="P88">
        <v>9</v>
      </c>
      <c r="Q88" t="s">
        <v>16</v>
      </c>
      <c r="R88">
        <v>7.5</v>
      </c>
      <c r="S88">
        <f>YEAR(Table1[[#This Row],[Visitor Date]])</f>
        <v>2022</v>
      </c>
      <c r="T88" t="str">
        <f>TEXT(Table1[[#This Row],[Visitor Date]],"MMM")</f>
        <v>Apr</v>
      </c>
    </row>
    <row r="89" spans="1:20" x14ac:dyDescent="0.35">
      <c r="A89" t="s">
        <v>14</v>
      </c>
      <c r="B89">
        <v>44</v>
      </c>
      <c r="C89" t="s">
        <v>18</v>
      </c>
      <c r="D89">
        <v>134</v>
      </c>
      <c r="E89" s="1">
        <v>44657</v>
      </c>
      <c r="F89">
        <v>37</v>
      </c>
      <c r="G89">
        <v>87</v>
      </c>
      <c r="H89">
        <v>40</v>
      </c>
      <c r="I89">
        <v>2.9</v>
      </c>
      <c r="J89">
        <v>46</v>
      </c>
      <c r="K89">
        <v>27</v>
      </c>
      <c r="L89">
        <v>16.5</v>
      </c>
      <c r="M89" t="s">
        <v>14</v>
      </c>
      <c r="N89">
        <v>24</v>
      </c>
      <c r="O89" t="s">
        <v>21</v>
      </c>
      <c r="P89">
        <v>8</v>
      </c>
      <c r="Q89" t="s">
        <v>16</v>
      </c>
      <c r="R89">
        <v>6.5</v>
      </c>
      <c r="S89">
        <f>YEAR(Table1[[#This Row],[Visitor Date]])</f>
        <v>2022</v>
      </c>
      <c r="T89" t="str">
        <f>TEXT(Table1[[#This Row],[Visitor Date]],"MMM")</f>
        <v>Apr</v>
      </c>
    </row>
    <row r="90" spans="1:20" x14ac:dyDescent="0.35">
      <c r="A90" t="s">
        <v>31</v>
      </c>
      <c r="B90">
        <v>26</v>
      </c>
      <c r="C90" t="s">
        <v>25</v>
      </c>
      <c r="D90">
        <v>37</v>
      </c>
      <c r="E90" s="1">
        <v>44658</v>
      </c>
      <c r="F90">
        <v>8</v>
      </c>
      <c r="G90">
        <v>5</v>
      </c>
      <c r="H90">
        <v>76</v>
      </c>
      <c r="I90">
        <v>3</v>
      </c>
      <c r="J90">
        <v>47</v>
      </c>
      <c r="K90">
        <v>37</v>
      </c>
      <c r="L90">
        <v>6</v>
      </c>
      <c r="M90" t="s">
        <v>20</v>
      </c>
      <c r="N90">
        <v>20</v>
      </c>
      <c r="O90" t="s">
        <v>21</v>
      </c>
      <c r="P90">
        <v>16</v>
      </c>
      <c r="Q90" t="s">
        <v>29</v>
      </c>
      <c r="R90">
        <v>12</v>
      </c>
      <c r="S90">
        <f>YEAR(Table1[[#This Row],[Visitor Date]])</f>
        <v>2022</v>
      </c>
      <c r="T90" t="str">
        <f>TEXT(Table1[[#This Row],[Visitor Date]],"MMM")</f>
        <v>Apr</v>
      </c>
    </row>
    <row r="91" spans="1:20" x14ac:dyDescent="0.35">
      <c r="A91" t="s">
        <v>31</v>
      </c>
      <c r="B91">
        <v>26</v>
      </c>
      <c r="C91" t="s">
        <v>18</v>
      </c>
      <c r="D91">
        <v>29</v>
      </c>
      <c r="E91" s="1">
        <v>44659</v>
      </c>
      <c r="F91">
        <v>10</v>
      </c>
      <c r="G91">
        <v>7</v>
      </c>
      <c r="H91">
        <v>74</v>
      </c>
      <c r="I91">
        <v>3.2</v>
      </c>
      <c r="J91">
        <v>44</v>
      </c>
      <c r="K91">
        <v>31</v>
      </c>
      <c r="L91">
        <v>5.5</v>
      </c>
      <c r="M91" t="s">
        <v>20</v>
      </c>
      <c r="N91">
        <v>19</v>
      </c>
      <c r="O91" t="s">
        <v>21</v>
      </c>
      <c r="P91">
        <v>15</v>
      </c>
      <c r="Q91" t="s">
        <v>29</v>
      </c>
      <c r="R91">
        <v>11.5</v>
      </c>
      <c r="S91">
        <f>YEAR(Table1[[#This Row],[Visitor Date]])</f>
        <v>2022</v>
      </c>
      <c r="T91" t="str">
        <f>TEXT(Table1[[#This Row],[Visitor Date]],"MMM")</f>
        <v>Apr</v>
      </c>
    </row>
    <row r="92" spans="1:20" x14ac:dyDescent="0.35">
      <c r="A92" t="s">
        <v>11</v>
      </c>
      <c r="B92">
        <v>68</v>
      </c>
      <c r="C92" t="s">
        <v>25</v>
      </c>
      <c r="D92">
        <v>61</v>
      </c>
      <c r="E92" s="1">
        <v>44660</v>
      </c>
      <c r="F92">
        <v>14</v>
      </c>
      <c r="G92">
        <v>91.5</v>
      </c>
      <c r="H92">
        <v>55</v>
      </c>
      <c r="I92">
        <v>3.6</v>
      </c>
      <c r="J92">
        <v>68</v>
      </c>
      <c r="K92">
        <v>35</v>
      </c>
      <c r="L92">
        <v>12</v>
      </c>
      <c r="M92" t="s">
        <v>27</v>
      </c>
      <c r="N92">
        <v>5</v>
      </c>
      <c r="O92" t="s">
        <v>34</v>
      </c>
      <c r="P92">
        <v>18</v>
      </c>
      <c r="Q92" t="s">
        <v>16</v>
      </c>
      <c r="R92">
        <v>19</v>
      </c>
      <c r="S92">
        <f>YEAR(Table1[[#This Row],[Visitor Date]])</f>
        <v>2022</v>
      </c>
      <c r="T92" t="str">
        <f>TEXT(Table1[[#This Row],[Visitor Date]],"MMM")</f>
        <v>Apr</v>
      </c>
    </row>
    <row r="93" spans="1:20" x14ac:dyDescent="0.35">
      <c r="A93" t="s">
        <v>11</v>
      </c>
      <c r="B93">
        <v>68</v>
      </c>
      <c r="C93" t="s">
        <v>18</v>
      </c>
      <c r="D93">
        <v>130</v>
      </c>
      <c r="E93" s="1">
        <v>44661</v>
      </c>
      <c r="F93">
        <v>11</v>
      </c>
      <c r="G93">
        <v>89</v>
      </c>
      <c r="H93">
        <v>53</v>
      </c>
      <c r="I93">
        <v>3</v>
      </c>
      <c r="J93">
        <v>65</v>
      </c>
      <c r="K93">
        <v>28</v>
      </c>
      <c r="L93">
        <v>10</v>
      </c>
      <c r="M93" t="s">
        <v>27</v>
      </c>
      <c r="N93">
        <v>4.5</v>
      </c>
      <c r="O93" t="s">
        <v>34</v>
      </c>
      <c r="P93">
        <v>16</v>
      </c>
      <c r="Q93" t="s">
        <v>16</v>
      </c>
      <c r="R93">
        <v>17</v>
      </c>
      <c r="S93">
        <f>YEAR(Table1[[#This Row],[Visitor Date]])</f>
        <v>2022</v>
      </c>
      <c r="T93" t="str">
        <f>TEXT(Table1[[#This Row],[Visitor Date]],"MMM")</f>
        <v>Apr</v>
      </c>
    </row>
    <row r="94" spans="1:20" x14ac:dyDescent="0.35">
      <c r="A94" t="s">
        <v>36</v>
      </c>
      <c r="B94">
        <v>14</v>
      </c>
      <c r="C94" t="s">
        <v>25</v>
      </c>
      <c r="D94">
        <v>8</v>
      </c>
      <c r="E94" s="1">
        <v>44662</v>
      </c>
      <c r="F94">
        <v>17</v>
      </c>
      <c r="G94">
        <v>72</v>
      </c>
      <c r="H94">
        <v>42</v>
      </c>
      <c r="I94">
        <v>4.2</v>
      </c>
      <c r="J94">
        <v>0</v>
      </c>
      <c r="K94">
        <v>96</v>
      </c>
      <c r="L94">
        <v>14.5</v>
      </c>
      <c r="M94" t="s">
        <v>20</v>
      </c>
      <c r="N94">
        <v>21</v>
      </c>
      <c r="O94" t="s">
        <v>15</v>
      </c>
      <c r="P94">
        <v>16</v>
      </c>
      <c r="Q94" t="s">
        <v>16</v>
      </c>
      <c r="R94">
        <v>15.5</v>
      </c>
      <c r="S94">
        <f>YEAR(Table1[[#This Row],[Visitor Date]])</f>
        <v>2022</v>
      </c>
      <c r="T94" t="str">
        <f>TEXT(Table1[[#This Row],[Visitor Date]],"MMM")</f>
        <v>Apr</v>
      </c>
    </row>
    <row r="95" spans="1:20" x14ac:dyDescent="0.35">
      <c r="A95" t="s">
        <v>36</v>
      </c>
      <c r="B95">
        <v>14</v>
      </c>
      <c r="C95" t="s">
        <v>18</v>
      </c>
      <c r="D95">
        <v>115</v>
      </c>
      <c r="E95" s="1">
        <v>44663</v>
      </c>
      <c r="F95">
        <v>8</v>
      </c>
      <c r="G95">
        <v>67</v>
      </c>
      <c r="H95">
        <v>27</v>
      </c>
      <c r="I95">
        <v>3.7</v>
      </c>
      <c r="J95">
        <v>56</v>
      </c>
      <c r="K95">
        <v>62</v>
      </c>
      <c r="L95">
        <v>12.5</v>
      </c>
      <c r="M95" t="s">
        <v>20</v>
      </c>
      <c r="N95">
        <v>20.5</v>
      </c>
      <c r="O95" t="s">
        <v>15</v>
      </c>
      <c r="P95">
        <v>14</v>
      </c>
      <c r="Q95" t="s">
        <v>16</v>
      </c>
      <c r="R95">
        <v>13.5</v>
      </c>
      <c r="S95">
        <f>YEAR(Table1[[#This Row],[Visitor Date]])</f>
        <v>2022</v>
      </c>
      <c r="T95" t="str">
        <f>TEXT(Table1[[#This Row],[Visitor Date]],"MMM")</f>
        <v>Apr</v>
      </c>
    </row>
    <row r="96" spans="1:20" x14ac:dyDescent="0.35">
      <c r="A96" t="s">
        <v>24</v>
      </c>
      <c r="B96">
        <v>33</v>
      </c>
      <c r="C96" t="s">
        <v>25</v>
      </c>
      <c r="D96">
        <v>133</v>
      </c>
      <c r="E96" s="1">
        <v>44664</v>
      </c>
      <c r="F96">
        <v>20</v>
      </c>
      <c r="G96">
        <v>63</v>
      </c>
      <c r="H96">
        <v>28</v>
      </c>
      <c r="I96">
        <v>4.3</v>
      </c>
      <c r="J96">
        <v>53</v>
      </c>
      <c r="K96">
        <v>96</v>
      </c>
      <c r="L96">
        <v>15</v>
      </c>
      <c r="M96" t="s">
        <v>14</v>
      </c>
      <c r="N96">
        <v>19</v>
      </c>
      <c r="O96" t="s">
        <v>28</v>
      </c>
      <c r="P96">
        <v>14</v>
      </c>
      <c r="Q96" t="s">
        <v>22</v>
      </c>
      <c r="R96">
        <v>11</v>
      </c>
      <c r="S96">
        <f>YEAR(Table1[[#This Row],[Visitor Date]])</f>
        <v>2022</v>
      </c>
      <c r="T96" t="str">
        <f>TEXT(Table1[[#This Row],[Visitor Date]],"MMM")</f>
        <v>Apr</v>
      </c>
    </row>
    <row r="97" spans="1:20" x14ac:dyDescent="0.35">
      <c r="A97" t="s">
        <v>24</v>
      </c>
      <c r="B97">
        <v>33</v>
      </c>
      <c r="C97" t="s">
        <v>18</v>
      </c>
      <c r="D97">
        <v>26</v>
      </c>
      <c r="E97" s="1">
        <v>44665</v>
      </c>
      <c r="F97">
        <v>15</v>
      </c>
      <c r="G97">
        <v>59</v>
      </c>
      <c r="H97">
        <v>29</v>
      </c>
      <c r="I97">
        <v>3.9</v>
      </c>
      <c r="J97">
        <v>51</v>
      </c>
      <c r="K97">
        <v>80</v>
      </c>
      <c r="L97">
        <v>14</v>
      </c>
      <c r="M97" t="s">
        <v>14</v>
      </c>
      <c r="N97">
        <v>18</v>
      </c>
      <c r="O97" t="s">
        <v>28</v>
      </c>
      <c r="P97">
        <v>13</v>
      </c>
      <c r="Q97" t="s">
        <v>22</v>
      </c>
      <c r="R97">
        <v>10</v>
      </c>
      <c r="S97">
        <f>YEAR(Table1[[#This Row],[Visitor Date]])</f>
        <v>2022</v>
      </c>
      <c r="T97" t="str">
        <f>TEXT(Table1[[#This Row],[Visitor Date]],"MMM")</f>
        <v>Apr</v>
      </c>
    </row>
    <row r="98" spans="1:20" x14ac:dyDescent="0.35">
      <c r="A98" t="s">
        <v>39</v>
      </c>
      <c r="B98">
        <v>91</v>
      </c>
      <c r="C98" t="s">
        <v>25</v>
      </c>
      <c r="D98">
        <v>54</v>
      </c>
      <c r="E98" s="1">
        <v>44666</v>
      </c>
      <c r="F98">
        <v>52</v>
      </c>
      <c r="G98">
        <v>54</v>
      </c>
      <c r="H98">
        <v>77</v>
      </c>
      <c r="I98">
        <v>4.4000000000000004</v>
      </c>
      <c r="J98">
        <v>59</v>
      </c>
      <c r="K98">
        <v>73</v>
      </c>
      <c r="L98">
        <v>16</v>
      </c>
      <c r="M98" t="s">
        <v>27</v>
      </c>
      <c r="N98">
        <v>7</v>
      </c>
      <c r="O98" t="s">
        <v>21</v>
      </c>
      <c r="P98">
        <v>15</v>
      </c>
      <c r="Q98" t="s">
        <v>29</v>
      </c>
      <c r="R98">
        <v>22</v>
      </c>
      <c r="S98">
        <f>YEAR(Table1[[#This Row],[Visitor Date]])</f>
        <v>2022</v>
      </c>
      <c r="T98" t="str">
        <f>TEXT(Table1[[#This Row],[Visitor Date]],"MMM")</f>
        <v>Apr</v>
      </c>
    </row>
    <row r="99" spans="1:20" x14ac:dyDescent="0.35">
      <c r="A99" t="s">
        <v>39</v>
      </c>
      <c r="B99">
        <v>91</v>
      </c>
      <c r="C99" t="s">
        <v>18</v>
      </c>
      <c r="D99">
        <v>2</v>
      </c>
      <c r="E99" s="1">
        <v>44667</v>
      </c>
      <c r="F99">
        <v>27</v>
      </c>
      <c r="G99">
        <v>56</v>
      </c>
      <c r="H99">
        <v>70</v>
      </c>
      <c r="I99">
        <v>3.8</v>
      </c>
      <c r="J99">
        <v>58</v>
      </c>
      <c r="K99">
        <v>58</v>
      </c>
      <c r="L99">
        <v>14</v>
      </c>
      <c r="M99" t="s">
        <v>27</v>
      </c>
      <c r="N99">
        <v>6</v>
      </c>
      <c r="O99" t="s">
        <v>21</v>
      </c>
      <c r="P99">
        <v>14</v>
      </c>
      <c r="Q99" t="s">
        <v>29</v>
      </c>
      <c r="R99">
        <v>21</v>
      </c>
      <c r="S99">
        <f>YEAR(Table1[[#This Row],[Visitor Date]])</f>
        <v>2022</v>
      </c>
      <c r="T99" t="str">
        <f>TEXT(Table1[[#This Row],[Visitor Date]],"MMM")</f>
        <v>Apr</v>
      </c>
    </row>
    <row r="100" spans="1:20" x14ac:dyDescent="0.35">
      <c r="A100" t="s">
        <v>14</v>
      </c>
      <c r="B100">
        <v>44</v>
      </c>
      <c r="C100" t="s">
        <v>25</v>
      </c>
      <c r="D100">
        <v>42</v>
      </c>
      <c r="E100" s="1">
        <v>44668</v>
      </c>
      <c r="F100">
        <v>45</v>
      </c>
      <c r="G100">
        <v>89</v>
      </c>
      <c r="H100">
        <v>45</v>
      </c>
      <c r="I100">
        <v>3.2</v>
      </c>
      <c r="J100">
        <v>45</v>
      </c>
      <c r="K100">
        <v>31</v>
      </c>
      <c r="L100">
        <v>17</v>
      </c>
      <c r="M100" t="s">
        <v>14</v>
      </c>
      <c r="N100">
        <v>26</v>
      </c>
      <c r="O100" t="s">
        <v>21</v>
      </c>
      <c r="P100">
        <v>7</v>
      </c>
      <c r="Q100" t="s">
        <v>16</v>
      </c>
      <c r="R100">
        <v>7</v>
      </c>
      <c r="S100">
        <f>YEAR(Table1[[#This Row],[Visitor Date]])</f>
        <v>2022</v>
      </c>
      <c r="T100" t="str">
        <f>TEXT(Table1[[#This Row],[Visitor Date]],"MMM")</f>
        <v>Apr</v>
      </c>
    </row>
    <row r="101" spans="1:20" x14ac:dyDescent="0.35">
      <c r="A101" t="s">
        <v>14</v>
      </c>
      <c r="B101">
        <v>44</v>
      </c>
      <c r="C101" t="s">
        <v>18</v>
      </c>
      <c r="D101">
        <v>39</v>
      </c>
      <c r="E101" s="1">
        <v>44669</v>
      </c>
      <c r="F101">
        <v>38</v>
      </c>
      <c r="G101">
        <v>85</v>
      </c>
      <c r="H101">
        <v>35</v>
      </c>
      <c r="I101">
        <v>2.8</v>
      </c>
      <c r="J101">
        <v>44</v>
      </c>
      <c r="K101">
        <v>27</v>
      </c>
      <c r="L101">
        <v>16</v>
      </c>
      <c r="M101" t="s">
        <v>14</v>
      </c>
      <c r="N101">
        <v>25</v>
      </c>
      <c r="O101" t="s">
        <v>21</v>
      </c>
      <c r="P101">
        <v>6.5</v>
      </c>
      <c r="Q101" t="s">
        <v>16</v>
      </c>
      <c r="R101">
        <v>6.5</v>
      </c>
      <c r="S101">
        <f>YEAR(Table1[[#This Row],[Visitor Date]])</f>
        <v>2022</v>
      </c>
      <c r="T101" t="str">
        <f>TEXT(Table1[[#This Row],[Visitor Date]],"MMM")</f>
        <v>Apr</v>
      </c>
    </row>
    <row r="102" spans="1:20" x14ac:dyDescent="0.35">
      <c r="A102" t="s">
        <v>31</v>
      </c>
      <c r="B102">
        <v>26</v>
      </c>
      <c r="C102" t="s">
        <v>25</v>
      </c>
      <c r="D102">
        <v>34</v>
      </c>
      <c r="E102" s="1">
        <v>44670</v>
      </c>
      <c r="F102">
        <v>9</v>
      </c>
      <c r="G102">
        <v>5.5</v>
      </c>
      <c r="H102">
        <v>76</v>
      </c>
      <c r="I102">
        <v>3.5</v>
      </c>
      <c r="J102">
        <v>48</v>
      </c>
      <c r="K102">
        <v>33</v>
      </c>
      <c r="L102">
        <v>6.5</v>
      </c>
      <c r="M102" t="s">
        <v>20</v>
      </c>
      <c r="N102">
        <v>22</v>
      </c>
      <c r="O102" t="s">
        <v>21</v>
      </c>
      <c r="P102">
        <v>15</v>
      </c>
      <c r="Q102" t="s">
        <v>29</v>
      </c>
      <c r="R102">
        <v>12</v>
      </c>
      <c r="S102">
        <f>YEAR(Table1[[#This Row],[Visitor Date]])</f>
        <v>2022</v>
      </c>
      <c r="T102" t="str">
        <f>TEXT(Table1[[#This Row],[Visitor Date]],"MMM")</f>
        <v>Apr</v>
      </c>
    </row>
    <row r="103" spans="1:20" x14ac:dyDescent="0.35">
      <c r="A103" t="s">
        <v>31</v>
      </c>
      <c r="B103">
        <v>26</v>
      </c>
      <c r="C103" t="s">
        <v>18</v>
      </c>
      <c r="D103">
        <v>128</v>
      </c>
      <c r="E103" s="1">
        <v>44671</v>
      </c>
      <c r="F103">
        <v>12</v>
      </c>
      <c r="G103">
        <v>6</v>
      </c>
      <c r="H103">
        <v>75</v>
      </c>
      <c r="I103">
        <v>3.1</v>
      </c>
      <c r="J103">
        <v>45</v>
      </c>
      <c r="K103">
        <v>28</v>
      </c>
      <c r="L103">
        <v>5</v>
      </c>
      <c r="M103" t="s">
        <v>20</v>
      </c>
      <c r="N103">
        <v>21</v>
      </c>
      <c r="O103" t="s">
        <v>21</v>
      </c>
      <c r="P103">
        <v>14</v>
      </c>
      <c r="Q103" t="s">
        <v>29</v>
      </c>
      <c r="R103">
        <v>11</v>
      </c>
      <c r="S103">
        <f>YEAR(Table1[[#This Row],[Visitor Date]])</f>
        <v>2022</v>
      </c>
      <c r="T103" t="str">
        <f>TEXT(Table1[[#This Row],[Visitor Date]],"MMM")</f>
        <v>Apr</v>
      </c>
    </row>
    <row r="104" spans="1:20" x14ac:dyDescent="0.35">
      <c r="A104" t="s">
        <v>39</v>
      </c>
      <c r="B104">
        <v>91</v>
      </c>
      <c r="C104" t="s">
        <v>25</v>
      </c>
      <c r="D104">
        <v>56</v>
      </c>
      <c r="E104" s="1">
        <v>44672</v>
      </c>
      <c r="F104">
        <v>55</v>
      </c>
      <c r="G104">
        <v>54.88</v>
      </c>
      <c r="H104">
        <v>77</v>
      </c>
      <c r="I104">
        <v>4.3</v>
      </c>
      <c r="J104">
        <v>1.5</v>
      </c>
      <c r="K104">
        <v>71</v>
      </c>
      <c r="L104">
        <v>17.100000000000001</v>
      </c>
      <c r="M104" t="s">
        <v>27</v>
      </c>
      <c r="N104">
        <v>6.2</v>
      </c>
      <c r="O104" t="s">
        <v>21</v>
      </c>
      <c r="P104">
        <v>17.399999999999999</v>
      </c>
      <c r="Q104" t="s">
        <v>29</v>
      </c>
      <c r="R104">
        <v>22.2</v>
      </c>
      <c r="S104">
        <f>YEAR(Table1[[#This Row],[Visitor Date]])</f>
        <v>2022</v>
      </c>
      <c r="T104" t="str">
        <f>TEXT(Table1[[#This Row],[Visitor Date]],"MMM")</f>
        <v>Apr</v>
      </c>
    </row>
    <row r="105" spans="1:20" x14ac:dyDescent="0.35">
      <c r="A105" t="s">
        <v>39</v>
      </c>
      <c r="B105">
        <v>91</v>
      </c>
      <c r="C105" t="s">
        <v>18</v>
      </c>
      <c r="D105">
        <v>24</v>
      </c>
      <c r="E105" s="1">
        <v>44673</v>
      </c>
      <c r="F105">
        <v>28</v>
      </c>
      <c r="G105">
        <v>56.3</v>
      </c>
      <c r="H105">
        <v>73</v>
      </c>
      <c r="I105">
        <v>3.5</v>
      </c>
      <c r="J105">
        <v>59.2</v>
      </c>
      <c r="K105">
        <v>55</v>
      </c>
      <c r="L105">
        <v>16</v>
      </c>
      <c r="M105" t="s">
        <v>27</v>
      </c>
      <c r="N105">
        <v>6</v>
      </c>
      <c r="O105" t="s">
        <v>21</v>
      </c>
      <c r="P105">
        <v>16.8</v>
      </c>
      <c r="Q105" t="s">
        <v>29</v>
      </c>
      <c r="R105">
        <v>21.5</v>
      </c>
      <c r="S105">
        <f>YEAR(Table1[[#This Row],[Visitor Date]])</f>
        <v>2022</v>
      </c>
      <c r="T105" t="str">
        <f>TEXT(Table1[[#This Row],[Visitor Date]],"MMM")</f>
        <v>Apr</v>
      </c>
    </row>
    <row r="106" spans="1:20" x14ac:dyDescent="0.35">
      <c r="A106" t="s">
        <v>39</v>
      </c>
      <c r="B106">
        <v>91</v>
      </c>
      <c r="C106" t="s">
        <v>12</v>
      </c>
      <c r="D106">
        <v>8</v>
      </c>
      <c r="E106" s="1">
        <v>44674</v>
      </c>
      <c r="F106">
        <v>20</v>
      </c>
      <c r="G106">
        <v>58</v>
      </c>
      <c r="H106">
        <v>65</v>
      </c>
      <c r="I106">
        <v>3.9</v>
      </c>
      <c r="J106">
        <v>57.5</v>
      </c>
      <c r="K106">
        <v>49</v>
      </c>
      <c r="L106">
        <v>15.5</v>
      </c>
      <c r="M106" t="s">
        <v>27</v>
      </c>
      <c r="N106">
        <v>5.5</v>
      </c>
      <c r="O106" t="s">
        <v>21</v>
      </c>
      <c r="P106">
        <v>15.2</v>
      </c>
      <c r="Q106" t="s">
        <v>22</v>
      </c>
      <c r="R106">
        <v>20</v>
      </c>
      <c r="S106">
        <f>YEAR(Table1[[#This Row],[Visitor Date]])</f>
        <v>2022</v>
      </c>
      <c r="T106" t="str">
        <f>TEXT(Table1[[#This Row],[Visitor Date]],"MMM")</f>
        <v>Apr</v>
      </c>
    </row>
    <row r="107" spans="1:20" x14ac:dyDescent="0.35">
      <c r="A107" t="s">
        <v>14</v>
      </c>
      <c r="B107">
        <v>44</v>
      </c>
      <c r="C107" t="s">
        <v>25</v>
      </c>
      <c r="D107">
        <v>40</v>
      </c>
      <c r="E107" s="1">
        <v>44675</v>
      </c>
      <c r="F107">
        <v>48</v>
      </c>
      <c r="G107">
        <v>91.47</v>
      </c>
      <c r="H107">
        <v>49</v>
      </c>
      <c r="I107">
        <v>3</v>
      </c>
      <c r="J107">
        <v>47.8</v>
      </c>
      <c r="K107">
        <v>33</v>
      </c>
      <c r="L107">
        <v>18</v>
      </c>
      <c r="M107" t="s">
        <v>14</v>
      </c>
      <c r="N107">
        <v>27.5</v>
      </c>
      <c r="O107" t="s">
        <v>21</v>
      </c>
      <c r="P107">
        <v>8.1</v>
      </c>
      <c r="Q107" t="s">
        <v>16</v>
      </c>
      <c r="R107">
        <v>6.9</v>
      </c>
      <c r="S107">
        <f>YEAR(Table1[[#This Row],[Visitor Date]])</f>
        <v>2022</v>
      </c>
      <c r="T107" t="str">
        <f>TEXT(Table1[[#This Row],[Visitor Date]],"MMM")</f>
        <v>Apr</v>
      </c>
    </row>
    <row r="108" spans="1:20" x14ac:dyDescent="0.35">
      <c r="A108" t="s">
        <v>14</v>
      </c>
      <c r="B108">
        <v>44</v>
      </c>
      <c r="C108" t="s">
        <v>18</v>
      </c>
      <c r="D108">
        <v>37</v>
      </c>
      <c r="E108" s="1">
        <v>44676</v>
      </c>
      <c r="F108">
        <v>39</v>
      </c>
      <c r="G108">
        <v>85.3</v>
      </c>
      <c r="H108">
        <v>35</v>
      </c>
      <c r="I108">
        <v>2.8</v>
      </c>
      <c r="J108">
        <v>5</v>
      </c>
      <c r="K108">
        <v>28</v>
      </c>
      <c r="L108">
        <v>17.5</v>
      </c>
      <c r="M108" t="s">
        <v>14</v>
      </c>
      <c r="N108">
        <v>26</v>
      </c>
      <c r="O108" t="s">
        <v>21</v>
      </c>
      <c r="P108">
        <v>7.5</v>
      </c>
      <c r="Q108" t="s">
        <v>16</v>
      </c>
      <c r="R108">
        <v>6.3</v>
      </c>
      <c r="S108">
        <f>YEAR(Table1[[#This Row],[Visitor Date]])</f>
        <v>2022</v>
      </c>
      <c r="T108" t="str">
        <f>TEXT(Table1[[#This Row],[Visitor Date]],"MMM")</f>
        <v>Apr</v>
      </c>
    </row>
    <row r="109" spans="1:20" x14ac:dyDescent="0.35">
      <c r="A109" t="s">
        <v>14</v>
      </c>
      <c r="B109">
        <v>44</v>
      </c>
      <c r="C109" t="s">
        <v>12</v>
      </c>
      <c r="D109">
        <v>29</v>
      </c>
      <c r="E109" s="1">
        <v>44677</v>
      </c>
      <c r="F109">
        <v>30</v>
      </c>
      <c r="G109">
        <v>87</v>
      </c>
      <c r="H109">
        <v>30</v>
      </c>
      <c r="I109">
        <v>3.2</v>
      </c>
      <c r="J109">
        <v>46.5</v>
      </c>
      <c r="K109">
        <v>93</v>
      </c>
      <c r="L109">
        <v>14</v>
      </c>
      <c r="M109" t="s">
        <v>14</v>
      </c>
      <c r="N109">
        <v>24</v>
      </c>
      <c r="O109" t="s">
        <v>21</v>
      </c>
      <c r="P109">
        <v>6.8</v>
      </c>
      <c r="Q109" t="s">
        <v>16</v>
      </c>
      <c r="R109">
        <v>6.1</v>
      </c>
      <c r="S109">
        <f>YEAR(Table1[[#This Row],[Visitor Date]])</f>
        <v>2022</v>
      </c>
      <c r="T109" t="str">
        <f>TEXT(Table1[[#This Row],[Visitor Date]],"MMM")</f>
        <v>Apr</v>
      </c>
    </row>
    <row r="110" spans="1:20" x14ac:dyDescent="0.35">
      <c r="A110" t="s">
        <v>31</v>
      </c>
      <c r="B110">
        <v>26</v>
      </c>
      <c r="C110" t="s">
        <v>25</v>
      </c>
      <c r="D110">
        <v>33</v>
      </c>
      <c r="E110" s="1">
        <v>44678</v>
      </c>
      <c r="F110">
        <v>10</v>
      </c>
      <c r="G110">
        <v>6.04</v>
      </c>
      <c r="H110">
        <v>78</v>
      </c>
      <c r="I110">
        <v>3.1</v>
      </c>
      <c r="J110">
        <v>48.7</v>
      </c>
      <c r="K110">
        <v>35</v>
      </c>
      <c r="L110">
        <v>5.8</v>
      </c>
      <c r="M110" t="s">
        <v>20</v>
      </c>
      <c r="N110">
        <v>23.6</v>
      </c>
      <c r="O110" t="s">
        <v>21</v>
      </c>
      <c r="P110">
        <v>18.399999999999999</v>
      </c>
      <c r="Q110" t="s">
        <v>29</v>
      </c>
      <c r="R110">
        <v>11.6</v>
      </c>
      <c r="S110">
        <f>YEAR(Table1[[#This Row],[Visitor Date]])</f>
        <v>2022</v>
      </c>
      <c r="T110" t="str">
        <f>TEXT(Table1[[#This Row],[Visitor Date]],"MMM")</f>
        <v>Apr</v>
      </c>
    </row>
    <row r="111" spans="1:20" x14ac:dyDescent="0.35">
      <c r="A111" t="s">
        <v>31</v>
      </c>
      <c r="B111">
        <v>26</v>
      </c>
      <c r="C111" t="s">
        <v>18</v>
      </c>
      <c r="D111">
        <v>39</v>
      </c>
      <c r="E111" s="1">
        <v>44679</v>
      </c>
      <c r="F111">
        <v>15</v>
      </c>
      <c r="G111">
        <v>7.5</v>
      </c>
      <c r="H111">
        <v>75</v>
      </c>
      <c r="I111">
        <v>3.2</v>
      </c>
      <c r="J111">
        <v>46.2</v>
      </c>
      <c r="K111">
        <v>30</v>
      </c>
      <c r="L111">
        <v>5.5</v>
      </c>
      <c r="M111" t="s">
        <v>20</v>
      </c>
      <c r="N111">
        <v>22</v>
      </c>
      <c r="O111" t="s">
        <v>21</v>
      </c>
      <c r="P111">
        <v>16.7</v>
      </c>
      <c r="Q111" t="s">
        <v>29</v>
      </c>
      <c r="R111">
        <v>10.8</v>
      </c>
      <c r="S111">
        <f>YEAR(Table1[[#This Row],[Visitor Date]])</f>
        <v>2022</v>
      </c>
      <c r="T111" t="str">
        <f>TEXT(Table1[[#This Row],[Visitor Date]],"MMM")</f>
        <v>Apr</v>
      </c>
    </row>
    <row r="112" spans="1:20" x14ac:dyDescent="0.35">
      <c r="A112" t="s">
        <v>31</v>
      </c>
      <c r="B112">
        <v>26</v>
      </c>
      <c r="C112" t="s">
        <v>12</v>
      </c>
      <c r="D112">
        <v>20</v>
      </c>
      <c r="E112" s="1">
        <v>44680</v>
      </c>
      <c r="F112">
        <v>12</v>
      </c>
      <c r="G112">
        <v>8</v>
      </c>
      <c r="H112">
        <v>70</v>
      </c>
      <c r="I112">
        <v>3.1</v>
      </c>
      <c r="J112">
        <v>44</v>
      </c>
      <c r="K112">
        <v>65</v>
      </c>
      <c r="L112">
        <v>4</v>
      </c>
      <c r="M112" t="s">
        <v>20</v>
      </c>
      <c r="N112">
        <v>20</v>
      </c>
      <c r="O112" t="s">
        <v>21</v>
      </c>
      <c r="P112">
        <v>14</v>
      </c>
      <c r="Q112" t="s">
        <v>29</v>
      </c>
      <c r="R112">
        <v>9.5</v>
      </c>
      <c r="S112">
        <f>YEAR(Table1[[#This Row],[Visitor Date]])</f>
        <v>2022</v>
      </c>
      <c r="T112" t="str">
        <f>TEXT(Table1[[#This Row],[Visitor Date]],"MMM")</f>
        <v>Apr</v>
      </c>
    </row>
    <row r="113" spans="1:20" x14ac:dyDescent="0.35">
      <c r="A113" t="s">
        <v>11</v>
      </c>
      <c r="B113">
        <v>68</v>
      </c>
      <c r="C113" t="s">
        <v>25</v>
      </c>
      <c r="D113">
        <v>60</v>
      </c>
      <c r="E113" s="1">
        <v>44681</v>
      </c>
      <c r="F113">
        <v>16</v>
      </c>
      <c r="G113">
        <v>90</v>
      </c>
      <c r="H113">
        <v>54</v>
      </c>
      <c r="I113">
        <v>3.5</v>
      </c>
      <c r="J113">
        <v>7.8</v>
      </c>
      <c r="K113">
        <v>34</v>
      </c>
      <c r="L113">
        <v>11</v>
      </c>
      <c r="M113" t="s">
        <v>27</v>
      </c>
      <c r="N113">
        <v>5.3</v>
      </c>
      <c r="O113" t="s">
        <v>34</v>
      </c>
      <c r="P113">
        <v>20.5</v>
      </c>
      <c r="Q113" t="s">
        <v>16</v>
      </c>
      <c r="R113">
        <v>19.5</v>
      </c>
      <c r="S113">
        <f>YEAR(Table1[[#This Row],[Visitor Date]])</f>
        <v>2022</v>
      </c>
      <c r="T113" t="str">
        <f>TEXT(Table1[[#This Row],[Visitor Date]],"MMM")</f>
        <v>Apr</v>
      </c>
    </row>
    <row r="114" spans="1:20" x14ac:dyDescent="0.35">
      <c r="A114" t="s">
        <v>11</v>
      </c>
      <c r="B114">
        <v>68</v>
      </c>
      <c r="C114" t="s">
        <v>18</v>
      </c>
      <c r="D114">
        <v>3</v>
      </c>
      <c r="E114" s="1">
        <v>44682</v>
      </c>
      <c r="F114">
        <v>12</v>
      </c>
      <c r="G114">
        <v>88</v>
      </c>
      <c r="H114">
        <v>50</v>
      </c>
      <c r="I114">
        <v>3.2</v>
      </c>
      <c r="J114">
        <v>6</v>
      </c>
      <c r="K114">
        <v>29</v>
      </c>
      <c r="L114">
        <v>10.199999999999999</v>
      </c>
      <c r="M114" t="s">
        <v>27</v>
      </c>
      <c r="N114">
        <v>4.8</v>
      </c>
      <c r="O114" t="s">
        <v>34</v>
      </c>
      <c r="P114">
        <v>19.7</v>
      </c>
      <c r="Q114" t="s">
        <v>16</v>
      </c>
      <c r="R114">
        <v>18</v>
      </c>
      <c r="S114">
        <f>YEAR(Table1[[#This Row],[Visitor Date]])</f>
        <v>2022</v>
      </c>
      <c r="T114" t="str">
        <f>TEXT(Table1[[#This Row],[Visitor Date]],"MMM")</f>
        <v>May</v>
      </c>
    </row>
    <row r="115" spans="1:20" x14ac:dyDescent="0.35">
      <c r="A115" t="s">
        <v>11</v>
      </c>
      <c r="B115">
        <v>68</v>
      </c>
      <c r="C115" t="s">
        <v>12</v>
      </c>
      <c r="D115">
        <v>5</v>
      </c>
      <c r="E115" s="1">
        <v>44683</v>
      </c>
      <c r="F115">
        <v>10</v>
      </c>
      <c r="G115">
        <v>89</v>
      </c>
      <c r="H115">
        <v>45</v>
      </c>
      <c r="I115">
        <v>3</v>
      </c>
      <c r="J115">
        <v>6</v>
      </c>
      <c r="K115">
        <v>60</v>
      </c>
      <c r="L115">
        <v>9.5</v>
      </c>
      <c r="M115" t="s">
        <v>27</v>
      </c>
      <c r="N115">
        <v>4</v>
      </c>
      <c r="O115" t="s">
        <v>34</v>
      </c>
      <c r="P115">
        <v>18</v>
      </c>
      <c r="Q115" t="s">
        <v>16</v>
      </c>
      <c r="R115">
        <v>16</v>
      </c>
      <c r="S115">
        <f>YEAR(Table1[[#This Row],[Visitor Date]])</f>
        <v>2022</v>
      </c>
      <c r="T115" t="str">
        <f>TEXT(Table1[[#This Row],[Visitor Date]],"MMM")</f>
        <v>May</v>
      </c>
    </row>
    <row r="116" spans="1:20" x14ac:dyDescent="0.35">
      <c r="A116" t="s">
        <v>36</v>
      </c>
      <c r="B116">
        <v>14</v>
      </c>
      <c r="C116" t="s">
        <v>25</v>
      </c>
      <c r="D116">
        <v>6</v>
      </c>
      <c r="E116" s="1">
        <v>44684</v>
      </c>
      <c r="F116">
        <v>18</v>
      </c>
      <c r="G116">
        <v>70.63</v>
      </c>
      <c r="H116">
        <v>41</v>
      </c>
      <c r="I116">
        <v>4.0999999999999996</v>
      </c>
      <c r="J116">
        <v>59.4</v>
      </c>
      <c r="K116">
        <v>95</v>
      </c>
      <c r="L116">
        <v>15.6</v>
      </c>
      <c r="M116" t="s">
        <v>20</v>
      </c>
      <c r="N116">
        <v>23.7</v>
      </c>
      <c r="O116" t="s">
        <v>15</v>
      </c>
      <c r="P116">
        <v>15.6</v>
      </c>
      <c r="Q116" t="s">
        <v>16</v>
      </c>
      <c r="R116">
        <v>15.1</v>
      </c>
      <c r="S116">
        <f>YEAR(Table1[[#This Row],[Visitor Date]])</f>
        <v>2022</v>
      </c>
      <c r="T116" t="str">
        <f>TEXT(Table1[[#This Row],[Visitor Date]],"MMM")</f>
        <v>May</v>
      </c>
    </row>
    <row r="117" spans="1:20" x14ac:dyDescent="0.35">
      <c r="A117" t="s">
        <v>36</v>
      </c>
      <c r="B117">
        <v>14</v>
      </c>
      <c r="C117" t="s">
        <v>18</v>
      </c>
      <c r="D117">
        <v>113</v>
      </c>
      <c r="E117" s="1">
        <v>44685</v>
      </c>
      <c r="F117">
        <v>9</v>
      </c>
      <c r="G117">
        <v>65</v>
      </c>
      <c r="H117">
        <v>25</v>
      </c>
      <c r="I117">
        <v>3.4</v>
      </c>
      <c r="J117">
        <v>55</v>
      </c>
      <c r="K117">
        <v>64</v>
      </c>
      <c r="L117">
        <v>14</v>
      </c>
      <c r="M117" t="s">
        <v>20</v>
      </c>
      <c r="N117">
        <v>21.5</v>
      </c>
      <c r="O117" t="s">
        <v>15</v>
      </c>
      <c r="P117">
        <v>13.9</v>
      </c>
      <c r="Q117" t="s">
        <v>16</v>
      </c>
      <c r="R117">
        <v>14.2</v>
      </c>
      <c r="S117">
        <f>YEAR(Table1[[#This Row],[Visitor Date]])</f>
        <v>2022</v>
      </c>
      <c r="T117" t="str">
        <f>TEXT(Table1[[#This Row],[Visitor Date]],"MMM")</f>
        <v>May</v>
      </c>
    </row>
    <row r="118" spans="1:20" x14ac:dyDescent="0.35">
      <c r="A118" t="s">
        <v>36</v>
      </c>
      <c r="B118">
        <v>14</v>
      </c>
      <c r="C118" t="s">
        <v>12</v>
      </c>
      <c r="D118">
        <v>0</v>
      </c>
      <c r="E118" s="1">
        <v>44686</v>
      </c>
      <c r="F118">
        <v>7</v>
      </c>
      <c r="G118">
        <v>64</v>
      </c>
      <c r="H118">
        <v>26</v>
      </c>
      <c r="I118">
        <v>3.5</v>
      </c>
      <c r="J118">
        <v>53</v>
      </c>
      <c r="K118">
        <v>54</v>
      </c>
      <c r="L118">
        <v>12</v>
      </c>
      <c r="M118" t="s">
        <v>20</v>
      </c>
      <c r="N118">
        <v>20</v>
      </c>
      <c r="O118" t="s">
        <v>15</v>
      </c>
      <c r="P118">
        <v>12.5</v>
      </c>
      <c r="Q118" t="s">
        <v>16</v>
      </c>
      <c r="R118">
        <v>12</v>
      </c>
      <c r="S118">
        <f>YEAR(Table1[[#This Row],[Visitor Date]])</f>
        <v>2022</v>
      </c>
      <c r="T118" t="str">
        <f>TEXT(Table1[[#This Row],[Visitor Date]],"MMM")</f>
        <v>May</v>
      </c>
    </row>
    <row r="119" spans="1:20" x14ac:dyDescent="0.35">
      <c r="A119" t="s">
        <v>24</v>
      </c>
      <c r="B119">
        <v>33</v>
      </c>
      <c r="C119" t="s">
        <v>25</v>
      </c>
      <c r="D119">
        <v>32</v>
      </c>
      <c r="E119" s="1">
        <v>44687</v>
      </c>
      <c r="F119">
        <v>19</v>
      </c>
      <c r="G119">
        <v>65.34</v>
      </c>
      <c r="H119">
        <v>27</v>
      </c>
      <c r="I119">
        <v>4.2</v>
      </c>
      <c r="J119">
        <v>52.3</v>
      </c>
      <c r="K119">
        <v>94</v>
      </c>
      <c r="L119">
        <v>16.2</v>
      </c>
      <c r="M119" t="s">
        <v>14</v>
      </c>
      <c r="N119">
        <v>18.899999999999999</v>
      </c>
      <c r="O119" t="s">
        <v>28</v>
      </c>
      <c r="P119">
        <v>13.8</v>
      </c>
      <c r="Q119" t="s">
        <v>22</v>
      </c>
      <c r="R119">
        <v>10.7</v>
      </c>
      <c r="S119">
        <f>YEAR(Table1[[#This Row],[Visitor Date]])</f>
        <v>2022</v>
      </c>
      <c r="T119" t="str">
        <f>TEXT(Table1[[#This Row],[Visitor Date]],"MMM")</f>
        <v>May</v>
      </c>
    </row>
    <row r="120" spans="1:20" x14ac:dyDescent="0.35">
      <c r="A120" t="s">
        <v>24</v>
      </c>
      <c r="B120">
        <v>33</v>
      </c>
      <c r="C120" t="s">
        <v>18</v>
      </c>
      <c r="D120">
        <v>29</v>
      </c>
      <c r="E120" s="1">
        <v>44688</v>
      </c>
      <c r="F120">
        <v>14</v>
      </c>
      <c r="G120">
        <v>60.2</v>
      </c>
      <c r="H120">
        <v>28</v>
      </c>
      <c r="I120">
        <v>3.9</v>
      </c>
      <c r="J120">
        <v>50.5</v>
      </c>
      <c r="K120">
        <v>75</v>
      </c>
      <c r="L120">
        <v>15</v>
      </c>
      <c r="M120" t="s">
        <v>14</v>
      </c>
      <c r="N120">
        <v>17.8</v>
      </c>
      <c r="O120" t="s">
        <v>28</v>
      </c>
      <c r="P120">
        <v>12</v>
      </c>
      <c r="Q120" t="s">
        <v>22</v>
      </c>
      <c r="R120">
        <v>9.5</v>
      </c>
      <c r="S120">
        <f>YEAR(Table1[[#This Row],[Visitor Date]])</f>
        <v>2022</v>
      </c>
      <c r="T120" t="str">
        <f>TEXT(Table1[[#This Row],[Visitor Date]],"MMM")</f>
        <v>May</v>
      </c>
    </row>
    <row r="121" spans="1:20" x14ac:dyDescent="0.35">
      <c r="A121" t="s">
        <v>24</v>
      </c>
      <c r="B121">
        <v>33</v>
      </c>
      <c r="C121" t="s">
        <v>12</v>
      </c>
      <c r="D121">
        <v>2</v>
      </c>
      <c r="E121" s="1">
        <v>44689</v>
      </c>
      <c r="F121">
        <v>10</v>
      </c>
      <c r="G121">
        <v>58</v>
      </c>
      <c r="H121">
        <v>29</v>
      </c>
      <c r="I121">
        <v>3.6</v>
      </c>
      <c r="J121">
        <v>48</v>
      </c>
      <c r="K121">
        <v>51</v>
      </c>
      <c r="L121">
        <v>13</v>
      </c>
      <c r="M121" t="s">
        <v>14</v>
      </c>
      <c r="N121">
        <v>16</v>
      </c>
      <c r="O121" t="s">
        <v>28</v>
      </c>
      <c r="P121">
        <v>11</v>
      </c>
      <c r="Q121" t="s">
        <v>22</v>
      </c>
      <c r="R121">
        <v>8</v>
      </c>
      <c r="S121">
        <f>YEAR(Table1[[#This Row],[Visitor Date]])</f>
        <v>2022</v>
      </c>
      <c r="T121" t="str">
        <f>TEXT(Table1[[#This Row],[Visitor Date]],"MMM")</f>
        <v>May</v>
      </c>
    </row>
    <row r="122" spans="1:20" x14ac:dyDescent="0.35">
      <c r="A122" t="s">
        <v>39</v>
      </c>
      <c r="B122">
        <v>91</v>
      </c>
      <c r="C122" t="s">
        <v>25</v>
      </c>
      <c r="D122">
        <v>58</v>
      </c>
      <c r="E122" s="1">
        <v>44690</v>
      </c>
      <c r="F122">
        <v>54</v>
      </c>
      <c r="G122">
        <v>55.5</v>
      </c>
      <c r="H122">
        <v>77</v>
      </c>
      <c r="I122">
        <v>4.0999999999999996</v>
      </c>
      <c r="J122">
        <v>0</v>
      </c>
      <c r="K122">
        <v>72</v>
      </c>
      <c r="L122">
        <v>17.3</v>
      </c>
      <c r="M122" t="s">
        <v>27</v>
      </c>
      <c r="N122">
        <v>6.5</v>
      </c>
      <c r="O122" t="s">
        <v>21</v>
      </c>
      <c r="P122">
        <v>18.2</v>
      </c>
      <c r="Q122" t="s">
        <v>29</v>
      </c>
      <c r="R122">
        <v>23</v>
      </c>
      <c r="S122">
        <f>YEAR(Table1[[#This Row],[Visitor Date]])</f>
        <v>2022</v>
      </c>
      <c r="T122" t="str">
        <f>TEXT(Table1[[#This Row],[Visitor Date]],"MMM")</f>
        <v>May</v>
      </c>
    </row>
    <row r="123" spans="1:20" x14ac:dyDescent="0.35">
      <c r="A123" t="s">
        <v>39</v>
      </c>
      <c r="B123">
        <v>91</v>
      </c>
      <c r="C123" t="s">
        <v>18</v>
      </c>
      <c r="D123">
        <v>122</v>
      </c>
      <c r="E123" s="1">
        <v>44691</v>
      </c>
      <c r="F123">
        <v>26</v>
      </c>
      <c r="G123">
        <v>58</v>
      </c>
      <c r="H123">
        <v>70</v>
      </c>
      <c r="I123">
        <v>3.8</v>
      </c>
      <c r="J123">
        <v>58</v>
      </c>
      <c r="K123">
        <v>54</v>
      </c>
      <c r="L123">
        <v>15.5</v>
      </c>
      <c r="M123" t="s">
        <v>27</v>
      </c>
      <c r="N123">
        <v>5.8</v>
      </c>
      <c r="O123" t="s">
        <v>21</v>
      </c>
      <c r="P123">
        <v>15</v>
      </c>
      <c r="Q123" t="s">
        <v>29</v>
      </c>
      <c r="R123">
        <v>20</v>
      </c>
      <c r="S123">
        <f>YEAR(Table1[[#This Row],[Visitor Date]])</f>
        <v>2022</v>
      </c>
      <c r="T123" t="str">
        <f>TEXT(Table1[[#This Row],[Visitor Date]],"MMM")</f>
        <v>May</v>
      </c>
    </row>
    <row r="124" spans="1:20" x14ac:dyDescent="0.35">
      <c r="A124" t="s">
        <v>14</v>
      </c>
      <c r="B124">
        <v>44</v>
      </c>
      <c r="C124" t="s">
        <v>25</v>
      </c>
      <c r="D124">
        <v>45</v>
      </c>
      <c r="E124" s="1">
        <v>44692</v>
      </c>
      <c r="F124">
        <v>49</v>
      </c>
      <c r="G124">
        <v>90</v>
      </c>
      <c r="H124">
        <v>45</v>
      </c>
      <c r="I124">
        <v>3.1</v>
      </c>
      <c r="J124">
        <v>48.5</v>
      </c>
      <c r="K124">
        <v>33</v>
      </c>
      <c r="L124">
        <v>18.5</v>
      </c>
      <c r="M124" t="s">
        <v>14</v>
      </c>
      <c r="N124">
        <v>25</v>
      </c>
      <c r="O124" t="s">
        <v>21</v>
      </c>
      <c r="P124">
        <v>9</v>
      </c>
      <c r="Q124" t="s">
        <v>16</v>
      </c>
      <c r="R124">
        <v>7.5</v>
      </c>
      <c r="S124">
        <f>YEAR(Table1[[#This Row],[Visitor Date]])</f>
        <v>2022</v>
      </c>
      <c r="T124" t="str">
        <f>TEXT(Table1[[#This Row],[Visitor Date]],"MMM")</f>
        <v>May</v>
      </c>
    </row>
    <row r="125" spans="1:20" x14ac:dyDescent="0.35">
      <c r="A125" t="s">
        <v>14</v>
      </c>
      <c r="B125">
        <v>44</v>
      </c>
      <c r="C125" t="s">
        <v>18</v>
      </c>
      <c r="D125">
        <v>34</v>
      </c>
      <c r="E125" s="1">
        <v>44693</v>
      </c>
      <c r="F125">
        <v>37</v>
      </c>
      <c r="G125">
        <v>87</v>
      </c>
      <c r="H125">
        <v>40</v>
      </c>
      <c r="I125">
        <v>2.9</v>
      </c>
      <c r="J125">
        <v>44</v>
      </c>
      <c r="K125">
        <v>27</v>
      </c>
      <c r="L125">
        <v>16.5</v>
      </c>
      <c r="M125" t="s">
        <v>14</v>
      </c>
      <c r="N125">
        <v>24</v>
      </c>
      <c r="O125" t="s">
        <v>21</v>
      </c>
      <c r="P125">
        <v>8</v>
      </c>
      <c r="Q125" t="s">
        <v>16</v>
      </c>
      <c r="R125">
        <v>6.5</v>
      </c>
      <c r="S125">
        <f>YEAR(Table1[[#This Row],[Visitor Date]])</f>
        <v>2022</v>
      </c>
      <c r="T125" t="str">
        <f>TEXT(Table1[[#This Row],[Visitor Date]],"MMM")</f>
        <v>May</v>
      </c>
    </row>
    <row r="126" spans="1:20" x14ac:dyDescent="0.35">
      <c r="A126" t="s">
        <v>14</v>
      </c>
      <c r="B126">
        <v>44</v>
      </c>
      <c r="C126" t="s">
        <v>12</v>
      </c>
      <c r="D126">
        <v>2</v>
      </c>
      <c r="E126" s="1">
        <v>44694</v>
      </c>
      <c r="F126">
        <v>25</v>
      </c>
      <c r="G126">
        <v>85</v>
      </c>
      <c r="H126">
        <v>35</v>
      </c>
      <c r="I126">
        <v>3</v>
      </c>
      <c r="J126">
        <v>43</v>
      </c>
      <c r="K126">
        <v>78</v>
      </c>
      <c r="L126">
        <v>15</v>
      </c>
      <c r="M126" t="s">
        <v>14</v>
      </c>
      <c r="N126">
        <v>23</v>
      </c>
      <c r="O126" t="s">
        <v>21</v>
      </c>
      <c r="P126">
        <v>7</v>
      </c>
      <c r="Q126" t="s">
        <v>16</v>
      </c>
      <c r="R126">
        <v>5</v>
      </c>
      <c r="S126">
        <f>YEAR(Table1[[#This Row],[Visitor Date]])</f>
        <v>2022</v>
      </c>
      <c r="T126" t="str">
        <f>TEXT(Table1[[#This Row],[Visitor Date]],"MMM")</f>
        <v>May</v>
      </c>
    </row>
    <row r="127" spans="1:20" x14ac:dyDescent="0.35">
      <c r="A127" t="s">
        <v>31</v>
      </c>
      <c r="B127">
        <v>26</v>
      </c>
      <c r="C127" t="s">
        <v>25</v>
      </c>
      <c r="D127">
        <v>37</v>
      </c>
      <c r="E127" s="1">
        <v>44695</v>
      </c>
      <c r="F127">
        <v>8</v>
      </c>
      <c r="G127">
        <v>5</v>
      </c>
      <c r="H127">
        <v>76</v>
      </c>
      <c r="I127">
        <v>3</v>
      </c>
      <c r="J127">
        <v>47</v>
      </c>
      <c r="K127">
        <v>37</v>
      </c>
      <c r="L127">
        <v>6</v>
      </c>
      <c r="M127" t="s">
        <v>20</v>
      </c>
      <c r="N127">
        <v>20</v>
      </c>
      <c r="O127" t="s">
        <v>21</v>
      </c>
      <c r="P127">
        <v>16</v>
      </c>
      <c r="Q127" t="s">
        <v>29</v>
      </c>
      <c r="R127">
        <v>12</v>
      </c>
      <c r="S127">
        <f>YEAR(Table1[[#This Row],[Visitor Date]])</f>
        <v>2022</v>
      </c>
      <c r="T127" t="str">
        <f>TEXT(Table1[[#This Row],[Visitor Date]],"MMM")</f>
        <v>May</v>
      </c>
    </row>
    <row r="128" spans="1:20" x14ac:dyDescent="0.35">
      <c r="A128" t="s">
        <v>31</v>
      </c>
      <c r="B128">
        <v>26</v>
      </c>
      <c r="C128" t="s">
        <v>18</v>
      </c>
      <c r="D128">
        <v>29</v>
      </c>
      <c r="E128" s="1">
        <v>44696</v>
      </c>
      <c r="F128">
        <v>10</v>
      </c>
      <c r="G128">
        <v>7</v>
      </c>
      <c r="H128">
        <v>74</v>
      </c>
      <c r="I128">
        <v>3.2</v>
      </c>
      <c r="J128">
        <v>44</v>
      </c>
      <c r="K128">
        <v>31</v>
      </c>
      <c r="L128">
        <v>5.5</v>
      </c>
      <c r="M128" t="s">
        <v>20</v>
      </c>
      <c r="N128">
        <v>19</v>
      </c>
      <c r="O128" t="s">
        <v>21</v>
      </c>
      <c r="P128">
        <v>15</v>
      </c>
      <c r="Q128" t="s">
        <v>29</v>
      </c>
      <c r="R128">
        <v>11.5</v>
      </c>
      <c r="S128">
        <f>YEAR(Table1[[#This Row],[Visitor Date]])</f>
        <v>2022</v>
      </c>
      <c r="T128" t="str">
        <f>TEXT(Table1[[#This Row],[Visitor Date]],"MMM")</f>
        <v>May</v>
      </c>
    </row>
    <row r="129" spans="1:20" x14ac:dyDescent="0.35">
      <c r="A129" t="s">
        <v>31</v>
      </c>
      <c r="B129">
        <v>26</v>
      </c>
      <c r="C129" t="s">
        <v>12</v>
      </c>
      <c r="D129">
        <v>5</v>
      </c>
      <c r="E129" s="1">
        <v>44697</v>
      </c>
      <c r="F129">
        <v>7</v>
      </c>
      <c r="G129">
        <v>6.5</v>
      </c>
      <c r="H129">
        <v>70</v>
      </c>
      <c r="I129">
        <v>3.1</v>
      </c>
      <c r="J129">
        <v>42</v>
      </c>
      <c r="K129">
        <v>57</v>
      </c>
      <c r="L129">
        <v>4.5</v>
      </c>
      <c r="M129" t="s">
        <v>20</v>
      </c>
      <c r="N129">
        <v>18</v>
      </c>
      <c r="O129" t="s">
        <v>21</v>
      </c>
      <c r="P129">
        <v>14</v>
      </c>
      <c r="Q129" t="s">
        <v>29</v>
      </c>
      <c r="R129">
        <v>10</v>
      </c>
      <c r="S129">
        <f>YEAR(Table1[[#This Row],[Visitor Date]])</f>
        <v>2022</v>
      </c>
      <c r="T129" t="str">
        <f>TEXT(Table1[[#This Row],[Visitor Date]],"MMM")</f>
        <v>May</v>
      </c>
    </row>
    <row r="130" spans="1:20" x14ac:dyDescent="0.35">
      <c r="A130" t="s">
        <v>11</v>
      </c>
      <c r="B130">
        <v>68</v>
      </c>
      <c r="C130" t="s">
        <v>25</v>
      </c>
      <c r="D130">
        <v>6</v>
      </c>
      <c r="E130" s="1">
        <v>44698</v>
      </c>
      <c r="F130">
        <v>14</v>
      </c>
      <c r="G130">
        <v>91.5</v>
      </c>
      <c r="H130">
        <v>55</v>
      </c>
      <c r="I130">
        <v>3.6</v>
      </c>
      <c r="J130">
        <v>8</v>
      </c>
      <c r="K130">
        <v>35</v>
      </c>
      <c r="L130">
        <v>12</v>
      </c>
      <c r="M130" t="s">
        <v>27</v>
      </c>
      <c r="N130">
        <v>5</v>
      </c>
      <c r="O130" t="s">
        <v>34</v>
      </c>
      <c r="P130">
        <v>18</v>
      </c>
      <c r="Q130" t="s">
        <v>16</v>
      </c>
      <c r="R130">
        <v>19</v>
      </c>
      <c r="S130">
        <f>YEAR(Table1[[#This Row],[Visitor Date]])</f>
        <v>2022</v>
      </c>
      <c r="T130" t="str">
        <f>TEXT(Table1[[#This Row],[Visitor Date]],"MMM")</f>
        <v>May</v>
      </c>
    </row>
    <row r="131" spans="1:20" x14ac:dyDescent="0.35">
      <c r="A131" t="s">
        <v>11</v>
      </c>
      <c r="B131">
        <v>68</v>
      </c>
      <c r="C131" t="s">
        <v>18</v>
      </c>
      <c r="D131">
        <v>30</v>
      </c>
      <c r="E131" s="1">
        <v>44699</v>
      </c>
      <c r="F131">
        <v>11</v>
      </c>
      <c r="G131">
        <v>89</v>
      </c>
      <c r="H131">
        <v>53</v>
      </c>
      <c r="I131">
        <v>3</v>
      </c>
      <c r="J131">
        <v>6</v>
      </c>
      <c r="K131">
        <v>28</v>
      </c>
      <c r="L131">
        <v>10</v>
      </c>
      <c r="M131" t="s">
        <v>27</v>
      </c>
      <c r="N131">
        <v>4.5</v>
      </c>
      <c r="O131" t="s">
        <v>34</v>
      </c>
      <c r="P131">
        <v>16</v>
      </c>
      <c r="Q131" t="s">
        <v>16</v>
      </c>
      <c r="R131">
        <v>17</v>
      </c>
      <c r="S131">
        <f>YEAR(Table1[[#This Row],[Visitor Date]])</f>
        <v>2022</v>
      </c>
      <c r="T131" t="str">
        <f>TEXT(Table1[[#This Row],[Visitor Date]],"MMM")</f>
        <v>May</v>
      </c>
    </row>
    <row r="132" spans="1:20" x14ac:dyDescent="0.35">
      <c r="A132" t="s">
        <v>11</v>
      </c>
      <c r="B132">
        <v>68</v>
      </c>
      <c r="C132" t="s">
        <v>12</v>
      </c>
      <c r="D132">
        <v>0</v>
      </c>
      <c r="E132" s="1">
        <v>44700</v>
      </c>
      <c r="F132">
        <v>9</v>
      </c>
      <c r="G132">
        <v>88</v>
      </c>
      <c r="H132">
        <v>45</v>
      </c>
      <c r="I132">
        <v>2.8</v>
      </c>
      <c r="J132">
        <v>63</v>
      </c>
      <c r="K132">
        <v>45</v>
      </c>
      <c r="L132">
        <v>9</v>
      </c>
      <c r="M132" t="s">
        <v>27</v>
      </c>
      <c r="N132">
        <v>4</v>
      </c>
      <c r="O132" t="s">
        <v>34</v>
      </c>
      <c r="P132">
        <v>15</v>
      </c>
      <c r="Q132" t="s">
        <v>16</v>
      </c>
      <c r="R132">
        <v>16</v>
      </c>
      <c r="S132">
        <f>YEAR(Table1[[#This Row],[Visitor Date]])</f>
        <v>2022</v>
      </c>
      <c r="T132" t="str">
        <f>TEXT(Table1[[#This Row],[Visitor Date]],"MMM")</f>
        <v>May</v>
      </c>
    </row>
    <row r="133" spans="1:20" x14ac:dyDescent="0.35">
      <c r="A133" t="s">
        <v>36</v>
      </c>
      <c r="B133">
        <v>14</v>
      </c>
      <c r="C133" t="s">
        <v>25</v>
      </c>
      <c r="D133">
        <v>18</v>
      </c>
      <c r="E133" s="1">
        <v>44701</v>
      </c>
      <c r="F133">
        <v>17</v>
      </c>
      <c r="G133">
        <v>72</v>
      </c>
      <c r="H133">
        <v>42</v>
      </c>
      <c r="I133">
        <v>4.2</v>
      </c>
      <c r="J133">
        <v>60</v>
      </c>
      <c r="K133">
        <v>96</v>
      </c>
      <c r="L133">
        <v>14.5</v>
      </c>
      <c r="M133" t="s">
        <v>20</v>
      </c>
      <c r="N133">
        <v>21</v>
      </c>
      <c r="O133" t="s">
        <v>15</v>
      </c>
      <c r="P133">
        <v>16</v>
      </c>
      <c r="Q133" t="s">
        <v>16</v>
      </c>
      <c r="R133">
        <v>15.5</v>
      </c>
      <c r="S133">
        <f>YEAR(Table1[[#This Row],[Visitor Date]])</f>
        <v>2022</v>
      </c>
      <c r="T133" t="str">
        <f>TEXT(Table1[[#This Row],[Visitor Date]],"MMM")</f>
        <v>May</v>
      </c>
    </row>
    <row r="134" spans="1:20" x14ac:dyDescent="0.35">
      <c r="A134" t="s">
        <v>36</v>
      </c>
      <c r="B134">
        <v>14</v>
      </c>
      <c r="C134" t="s">
        <v>18</v>
      </c>
      <c r="D134">
        <v>15</v>
      </c>
      <c r="E134" s="1">
        <v>44702</v>
      </c>
      <c r="F134">
        <v>8</v>
      </c>
      <c r="G134">
        <v>67</v>
      </c>
      <c r="H134">
        <v>27</v>
      </c>
      <c r="I134">
        <v>3.7</v>
      </c>
      <c r="J134">
        <v>56</v>
      </c>
      <c r="K134">
        <v>62</v>
      </c>
      <c r="L134">
        <v>12.5</v>
      </c>
      <c r="M134" t="s">
        <v>20</v>
      </c>
      <c r="N134">
        <v>20.5</v>
      </c>
      <c r="O134" t="s">
        <v>15</v>
      </c>
      <c r="P134">
        <v>14</v>
      </c>
      <c r="Q134" t="s">
        <v>16</v>
      </c>
      <c r="R134">
        <v>13.5</v>
      </c>
      <c r="S134">
        <f>YEAR(Table1[[#This Row],[Visitor Date]])</f>
        <v>2022</v>
      </c>
      <c r="T134" t="str">
        <f>TEXT(Table1[[#This Row],[Visitor Date]],"MMM")</f>
        <v>May</v>
      </c>
    </row>
    <row r="135" spans="1:20" x14ac:dyDescent="0.35">
      <c r="A135" t="s">
        <v>36</v>
      </c>
      <c r="B135">
        <v>14</v>
      </c>
      <c r="C135" t="s">
        <v>12</v>
      </c>
      <c r="D135">
        <v>15</v>
      </c>
      <c r="E135" s="1">
        <v>44703</v>
      </c>
      <c r="F135">
        <v>6</v>
      </c>
      <c r="G135">
        <v>66</v>
      </c>
      <c r="H135">
        <v>25</v>
      </c>
      <c r="I135">
        <v>3.5</v>
      </c>
      <c r="J135">
        <v>54</v>
      </c>
      <c r="K135">
        <v>52</v>
      </c>
      <c r="L135">
        <v>12</v>
      </c>
      <c r="M135" t="s">
        <v>20</v>
      </c>
      <c r="N135">
        <v>19</v>
      </c>
      <c r="O135" t="s">
        <v>15</v>
      </c>
      <c r="P135">
        <v>13</v>
      </c>
      <c r="Q135" t="s">
        <v>16</v>
      </c>
      <c r="R135">
        <v>12</v>
      </c>
      <c r="S135">
        <f>YEAR(Table1[[#This Row],[Visitor Date]])</f>
        <v>2022</v>
      </c>
      <c r="T135" t="str">
        <f>TEXT(Table1[[#This Row],[Visitor Date]],"MMM")</f>
        <v>May</v>
      </c>
    </row>
    <row r="136" spans="1:20" x14ac:dyDescent="0.35">
      <c r="A136" t="s">
        <v>24</v>
      </c>
      <c r="B136">
        <v>33</v>
      </c>
      <c r="C136" t="s">
        <v>25</v>
      </c>
      <c r="D136">
        <v>33</v>
      </c>
      <c r="E136" s="1">
        <v>44704</v>
      </c>
      <c r="F136">
        <v>20</v>
      </c>
      <c r="G136">
        <v>63</v>
      </c>
      <c r="H136">
        <v>26</v>
      </c>
      <c r="I136">
        <v>4.3</v>
      </c>
      <c r="J136">
        <v>53</v>
      </c>
      <c r="K136">
        <v>96</v>
      </c>
      <c r="L136">
        <v>15</v>
      </c>
      <c r="M136" t="s">
        <v>14</v>
      </c>
      <c r="N136">
        <v>19</v>
      </c>
      <c r="O136" t="s">
        <v>28</v>
      </c>
      <c r="P136">
        <v>14</v>
      </c>
      <c r="Q136" t="s">
        <v>22</v>
      </c>
      <c r="R136">
        <v>11</v>
      </c>
      <c r="S136">
        <f>YEAR(Table1[[#This Row],[Visitor Date]])</f>
        <v>2022</v>
      </c>
      <c r="T136" t="str">
        <f>TEXT(Table1[[#This Row],[Visitor Date]],"MMM")</f>
        <v>May</v>
      </c>
    </row>
    <row r="137" spans="1:20" x14ac:dyDescent="0.35">
      <c r="A137" t="s">
        <v>24</v>
      </c>
      <c r="B137">
        <v>33</v>
      </c>
      <c r="C137" t="s">
        <v>18</v>
      </c>
      <c r="D137">
        <v>29</v>
      </c>
      <c r="E137" s="1">
        <v>44705</v>
      </c>
      <c r="F137">
        <v>15</v>
      </c>
      <c r="G137">
        <v>59</v>
      </c>
      <c r="H137">
        <v>27</v>
      </c>
      <c r="I137">
        <v>3.9</v>
      </c>
      <c r="J137">
        <v>51</v>
      </c>
      <c r="K137">
        <v>80</v>
      </c>
      <c r="L137">
        <v>14</v>
      </c>
      <c r="M137" t="s">
        <v>14</v>
      </c>
      <c r="N137">
        <v>18</v>
      </c>
      <c r="O137" t="s">
        <v>28</v>
      </c>
      <c r="P137">
        <v>13</v>
      </c>
      <c r="Q137" t="s">
        <v>22</v>
      </c>
      <c r="R137">
        <v>10</v>
      </c>
      <c r="S137">
        <f>YEAR(Table1[[#This Row],[Visitor Date]])</f>
        <v>2022</v>
      </c>
      <c r="T137" t="str">
        <f>TEXT(Table1[[#This Row],[Visitor Date]],"MMM")</f>
        <v>May</v>
      </c>
    </row>
    <row r="138" spans="1:20" x14ac:dyDescent="0.35">
      <c r="A138" t="s">
        <v>24</v>
      </c>
      <c r="B138">
        <v>33</v>
      </c>
      <c r="C138" t="s">
        <v>12</v>
      </c>
      <c r="D138">
        <v>2</v>
      </c>
      <c r="E138" s="1">
        <v>44706</v>
      </c>
      <c r="F138">
        <v>10</v>
      </c>
      <c r="G138">
        <v>58</v>
      </c>
      <c r="H138">
        <v>28</v>
      </c>
      <c r="I138">
        <v>3.6</v>
      </c>
      <c r="J138">
        <v>48</v>
      </c>
      <c r="K138">
        <v>51</v>
      </c>
      <c r="L138">
        <v>13</v>
      </c>
      <c r="M138" t="s">
        <v>14</v>
      </c>
      <c r="N138">
        <v>16</v>
      </c>
      <c r="O138" t="s">
        <v>28</v>
      </c>
      <c r="P138">
        <v>11</v>
      </c>
      <c r="Q138" t="s">
        <v>22</v>
      </c>
      <c r="R138">
        <v>8</v>
      </c>
      <c r="S138">
        <f>YEAR(Table1[[#This Row],[Visitor Date]])</f>
        <v>2022</v>
      </c>
      <c r="T138" t="str">
        <f>TEXT(Table1[[#This Row],[Visitor Date]],"MMM")</f>
        <v>May</v>
      </c>
    </row>
    <row r="139" spans="1:20" x14ac:dyDescent="0.35">
      <c r="A139" t="s">
        <v>39</v>
      </c>
      <c r="B139">
        <v>91</v>
      </c>
      <c r="C139" t="s">
        <v>25</v>
      </c>
      <c r="D139">
        <v>54</v>
      </c>
      <c r="E139" s="1">
        <v>44707</v>
      </c>
      <c r="F139">
        <v>52</v>
      </c>
      <c r="G139">
        <v>54</v>
      </c>
      <c r="H139">
        <v>77</v>
      </c>
      <c r="I139">
        <v>4.4000000000000004</v>
      </c>
      <c r="J139">
        <v>59</v>
      </c>
      <c r="K139">
        <v>73</v>
      </c>
      <c r="L139">
        <v>16</v>
      </c>
      <c r="M139" t="s">
        <v>27</v>
      </c>
      <c r="N139">
        <v>7</v>
      </c>
      <c r="O139" t="s">
        <v>21</v>
      </c>
      <c r="P139">
        <v>15</v>
      </c>
      <c r="Q139" t="s">
        <v>29</v>
      </c>
      <c r="R139">
        <v>22</v>
      </c>
      <c r="S139">
        <f>YEAR(Table1[[#This Row],[Visitor Date]])</f>
        <v>2022</v>
      </c>
      <c r="T139" t="str">
        <f>TEXT(Table1[[#This Row],[Visitor Date]],"MMM")</f>
        <v>May</v>
      </c>
    </row>
    <row r="140" spans="1:20" x14ac:dyDescent="0.35">
      <c r="A140" t="s">
        <v>39</v>
      </c>
      <c r="B140">
        <v>91</v>
      </c>
      <c r="C140" t="s">
        <v>18</v>
      </c>
      <c r="D140">
        <v>2</v>
      </c>
      <c r="E140" s="1">
        <v>44708</v>
      </c>
      <c r="F140">
        <v>27</v>
      </c>
      <c r="G140">
        <v>56</v>
      </c>
      <c r="H140">
        <v>70</v>
      </c>
      <c r="I140">
        <v>3.8</v>
      </c>
      <c r="J140">
        <v>58</v>
      </c>
      <c r="K140">
        <v>58</v>
      </c>
      <c r="L140">
        <v>14</v>
      </c>
      <c r="M140" t="s">
        <v>27</v>
      </c>
      <c r="N140">
        <v>6</v>
      </c>
      <c r="O140" t="s">
        <v>21</v>
      </c>
      <c r="P140">
        <v>14</v>
      </c>
      <c r="Q140" t="s">
        <v>29</v>
      </c>
      <c r="R140">
        <v>21</v>
      </c>
      <c r="S140">
        <f>YEAR(Table1[[#This Row],[Visitor Date]])</f>
        <v>2022</v>
      </c>
      <c r="T140" t="str">
        <f>TEXT(Table1[[#This Row],[Visitor Date]],"MMM")</f>
        <v>May</v>
      </c>
    </row>
    <row r="141" spans="1:20" x14ac:dyDescent="0.35">
      <c r="A141" t="s">
        <v>39</v>
      </c>
      <c r="B141">
        <v>91</v>
      </c>
      <c r="C141" t="s">
        <v>12</v>
      </c>
      <c r="D141">
        <v>7</v>
      </c>
      <c r="E141" s="1">
        <v>44709</v>
      </c>
      <c r="F141">
        <v>12</v>
      </c>
      <c r="G141">
        <v>58</v>
      </c>
      <c r="H141">
        <v>65</v>
      </c>
      <c r="I141">
        <v>3.4</v>
      </c>
      <c r="J141">
        <v>56</v>
      </c>
      <c r="K141">
        <v>45</v>
      </c>
      <c r="L141">
        <v>13</v>
      </c>
      <c r="M141" t="s">
        <v>27</v>
      </c>
      <c r="N141">
        <v>5.5</v>
      </c>
      <c r="O141" t="s">
        <v>21</v>
      </c>
      <c r="P141">
        <v>12</v>
      </c>
      <c r="Q141" t="s">
        <v>29</v>
      </c>
      <c r="R141">
        <v>19</v>
      </c>
      <c r="S141">
        <f>YEAR(Table1[[#This Row],[Visitor Date]])</f>
        <v>2022</v>
      </c>
      <c r="T141" t="str">
        <f>TEXT(Table1[[#This Row],[Visitor Date]],"MMM")</f>
        <v>May</v>
      </c>
    </row>
    <row r="142" spans="1:20" x14ac:dyDescent="0.35">
      <c r="A142" t="s">
        <v>14</v>
      </c>
      <c r="B142">
        <v>44</v>
      </c>
      <c r="C142" t="s">
        <v>25</v>
      </c>
      <c r="D142">
        <v>42</v>
      </c>
      <c r="E142" s="1">
        <v>44710</v>
      </c>
      <c r="F142">
        <v>45</v>
      </c>
      <c r="G142">
        <v>89</v>
      </c>
      <c r="H142">
        <v>45</v>
      </c>
      <c r="I142">
        <v>3.2</v>
      </c>
      <c r="J142">
        <v>45</v>
      </c>
      <c r="K142">
        <v>31</v>
      </c>
      <c r="L142">
        <v>17</v>
      </c>
      <c r="M142" t="s">
        <v>14</v>
      </c>
      <c r="N142">
        <v>26</v>
      </c>
      <c r="O142" t="s">
        <v>21</v>
      </c>
      <c r="P142">
        <v>7</v>
      </c>
      <c r="Q142" t="s">
        <v>16</v>
      </c>
      <c r="R142">
        <v>7</v>
      </c>
      <c r="S142">
        <f>YEAR(Table1[[#This Row],[Visitor Date]])</f>
        <v>2022</v>
      </c>
      <c r="T142" t="str">
        <f>TEXT(Table1[[#This Row],[Visitor Date]],"MMM")</f>
        <v>May</v>
      </c>
    </row>
    <row r="143" spans="1:20" x14ac:dyDescent="0.35">
      <c r="A143" t="s">
        <v>14</v>
      </c>
      <c r="B143">
        <v>44</v>
      </c>
      <c r="C143" t="s">
        <v>18</v>
      </c>
      <c r="D143">
        <v>139</v>
      </c>
      <c r="E143" s="1">
        <v>44711</v>
      </c>
      <c r="F143">
        <v>38</v>
      </c>
      <c r="G143">
        <v>85</v>
      </c>
      <c r="H143">
        <v>40</v>
      </c>
      <c r="I143">
        <v>2.9</v>
      </c>
      <c r="J143">
        <v>44</v>
      </c>
      <c r="K143">
        <v>27</v>
      </c>
      <c r="L143">
        <v>16</v>
      </c>
      <c r="M143" t="s">
        <v>14</v>
      </c>
      <c r="N143">
        <v>25</v>
      </c>
      <c r="O143" t="s">
        <v>21</v>
      </c>
      <c r="P143">
        <v>6.5</v>
      </c>
      <c r="Q143" t="s">
        <v>16</v>
      </c>
      <c r="R143">
        <v>6.5</v>
      </c>
      <c r="S143">
        <f>YEAR(Table1[[#This Row],[Visitor Date]])</f>
        <v>2022</v>
      </c>
      <c r="T143" t="str">
        <f>TEXT(Table1[[#This Row],[Visitor Date]],"MMM")</f>
        <v>May</v>
      </c>
    </row>
    <row r="144" spans="1:20" x14ac:dyDescent="0.35">
      <c r="A144" t="s">
        <v>14</v>
      </c>
      <c r="B144">
        <v>44</v>
      </c>
      <c r="C144" t="s">
        <v>12</v>
      </c>
      <c r="D144">
        <v>22</v>
      </c>
      <c r="E144" s="1">
        <v>44712</v>
      </c>
      <c r="F144">
        <v>25</v>
      </c>
      <c r="G144">
        <v>83</v>
      </c>
      <c r="H144">
        <v>35</v>
      </c>
      <c r="I144">
        <v>3</v>
      </c>
      <c r="J144">
        <v>43</v>
      </c>
      <c r="K144">
        <v>78</v>
      </c>
      <c r="L144">
        <v>15</v>
      </c>
      <c r="M144" t="s">
        <v>14</v>
      </c>
      <c r="N144">
        <v>23</v>
      </c>
      <c r="O144" t="s">
        <v>21</v>
      </c>
      <c r="P144">
        <v>7</v>
      </c>
      <c r="Q144" t="s">
        <v>16</v>
      </c>
      <c r="R144">
        <v>5</v>
      </c>
      <c r="S144">
        <f>YEAR(Table1[[#This Row],[Visitor Date]])</f>
        <v>2022</v>
      </c>
      <c r="T144" t="str">
        <f>TEXT(Table1[[#This Row],[Visitor Date]],"MMM")</f>
        <v>May</v>
      </c>
    </row>
    <row r="145" spans="1:20" x14ac:dyDescent="0.35">
      <c r="A145" t="s">
        <v>36</v>
      </c>
      <c r="B145">
        <v>14</v>
      </c>
      <c r="C145" t="s">
        <v>25</v>
      </c>
      <c r="D145">
        <v>119</v>
      </c>
      <c r="E145" s="1">
        <v>44713</v>
      </c>
      <c r="F145">
        <v>17</v>
      </c>
      <c r="G145">
        <v>70.63</v>
      </c>
      <c r="H145">
        <v>42</v>
      </c>
      <c r="I145">
        <v>4.2</v>
      </c>
      <c r="J145">
        <v>60</v>
      </c>
      <c r="K145">
        <v>96</v>
      </c>
      <c r="L145">
        <v>14.5</v>
      </c>
      <c r="M145" t="s">
        <v>20</v>
      </c>
      <c r="N145">
        <v>21</v>
      </c>
      <c r="O145" t="s">
        <v>15</v>
      </c>
      <c r="P145">
        <v>16</v>
      </c>
      <c r="Q145" t="s">
        <v>16</v>
      </c>
      <c r="R145">
        <v>15.5</v>
      </c>
      <c r="S145">
        <f>YEAR(Table1[[#This Row],[Visitor Date]])</f>
        <v>2022</v>
      </c>
      <c r="T145" t="str">
        <f>TEXT(Table1[[#This Row],[Visitor Date]],"MMM")</f>
        <v>Jun</v>
      </c>
    </row>
    <row r="146" spans="1:20" x14ac:dyDescent="0.35">
      <c r="A146" t="s">
        <v>36</v>
      </c>
      <c r="B146">
        <v>14</v>
      </c>
      <c r="C146" t="s">
        <v>18</v>
      </c>
      <c r="D146">
        <v>116</v>
      </c>
      <c r="E146" s="1">
        <v>44714</v>
      </c>
      <c r="F146">
        <v>9</v>
      </c>
      <c r="G146">
        <v>67</v>
      </c>
      <c r="H146">
        <v>27</v>
      </c>
      <c r="I146">
        <v>3.7</v>
      </c>
      <c r="J146">
        <v>56</v>
      </c>
      <c r="K146">
        <v>62</v>
      </c>
      <c r="L146">
        <v>12.5</v>
      </c>
      <c r="M146" t="s">
        <v>20</v>
      </c>
      <c r="N146">
        <v>20.5</v>
      </c>
      <c r="O146" t="s">
        <v>15</v>
      </c>
      <c r="P146">
        <v>14</v>
      </c>
      <c r="Q146" t="s">
        <v>16</v>
      </c>
      <c r="R146">
        <v>13.5</v>
      </c>
      <c r="S146">
        <f>YEAR(Table1[[#This Row],[Visitor Date]])</f>
        <v>2022</v>
      </c>
      <c r="T146" t="str">
        <f>TEXT(Table1[[#This Row],[Visitor Date]],"MMM")</f>
        <v>Jun</v>
      </c>
    </row>
    <row r="147" spans="1:20" x14ac:dyDescent="0.35">
      <c r="A147" t="s">
        <v>36</v>
      </c>
      <c r="B147">
        <v>14</v>
      </c>
      <c r="C147" t="s">
        <v>12</v>
      </c>
      <c r="D147">
        <v>122</v>
      </c>
      <c r="E147" s="1">
        <v>44715</v>
      </c>
      <c r="F147">
        <v>6</v>
      </c>
      <c r="G147">
        <v>66</v>
      </c>
      <c r="H147">
        <v>25</v>
      </c>
      <c r="I147">
        <v>3.5</v>
      </c>
      <c r="J147">
        <v>54</v>
      </c>
      <c r="K147">
        <v>52</v>
      </c>
      <c r="L147">
        <v>12</v>
      </c>
      <c r="M147" t="s">
        <v>20</v>
      </c>
      <c r="N147">
        <v>19</v>
      </c>
      <c r="O147" t="s">
        <v>15</v>
      </c>
      <c r="P147">
        <v>13</v>
      </c>
      <c r="Q147" t="s">
        <v>16</v>
      </c>
      <c r="R147">
        <v>12</v>
      </c>
      <c r="S147">
        <f>YEAR(Table1[[#This Row],[Visitor Date]])</f>
        <v>2022</v>
      </c>
      <c r="T147" t="str">
        <f>TEXT(Table1[[#This Row],[Visitor Date]],"MMM")</f>
        <v>Jun</v>
      </c>
    </row>
    <row r="148" spans="1:20" x14ac:dyDescent="0.35">
      <c r="A148" t="s">
        <v>24</v>
      </c>
      <c r="B148">
        <v>33</v>
      </c>
      <c r="C148" t="s">
        <v>25</v>
      </c>
      <c r="D148">
        <v>34</v>
      </c>
      <c r="E148" s="1">
        <v>44716</v>
      </c>
      <c r="F148">
        <v>20</v>
      </c>
      <c r="G148">
        <v>63</v>
      </c>
      <c r="H148">
        <v>26</v>
      </c>
      <c r="I148">
        <v>4.3</v>
      </c>
      <c r="J148">
        <v>53</v>
      </c>
      <c r="K148">
        <v>96</v>
      </c>
      <c r="L148">
        <v>15</v>
      </c>
      <c r="M148" t="s">
        <v>14</v>
      </c>
      <c r="N148">
        <v>19</v>
      </c>
      <c r="O148" t="s">
        <v>28</v>
      </c>
      <c r="P148">
        <v>14</v>
      </c>
      <c r="Q148" t="s">
        <v>22</v>
      </c>
      <c r="R148">
        <v>11</v>
      </c>
      <c r="S148">
        <f>YEAR(Table1[[#This Row],[Visitor Date]])</f>
        <v>2022</v>
      </c>
      <c r="T148" t="str">
        <f>TEXT(Table1[[#This Row],[Visitor Date]],"MMM")</f>
        <v>Jun</v>
      </c>
    </row>
    <row r="149" spans="1:20" x14ac:dyDescent="0.35">
      <c r="A149" t="s">
        <v>24</v>
      </c>
      <c r="B149">
        <v>33</v>
      </c>
      <c r="C149" t="s">
        <v>18</v>
      </c>
      <c r="D149">
        <v>30</v>
      </c>
      <c r="E149" s="1">
        <v>44717</v>
      </c>
      <c r="F149">
        <v>15</v>
      </c>
      <c r="G149">
        <v>59</v>
      </c>
      <c r="H149">
        <v>27</v>
      </c>
      <c r="I149">
        <v>3.9</v>
      </c>
      <c r="J149">
        <v>51</v>
      </c>
      <c r="K149">
        <v>80</v>
      </c>
      <c r="L149">
        <v>14</v>
      </c>
      <c r="M149" t="s">
        <v>14</v>
      </c>
      <c r="N149">
        <v>18</v>
      </c>
      <c r="O149" t="s">
        <v>28</v>
      </c>
      <c r="P149">
        <v>13</v>
      </c>
      <c r="Q149" t="s">
        <v>22</v>
      </c>
      <c r="R149">
        <v>10</v>
      </c>
      <c r="S149">
        <f>YEAR(Table1[[#This Row],[Visitor Date]])</f>
        <v>2022</v>
      </c>
      <c r="T149" t="str">
        <f>TEXT(Table1[[#This Row],[Visitor Date]],"MMM")</f>
        <v>Jun</v>
      </c>
    </row>
    <row r="150" spans="1:20" x14ac:dyDescent="0.35">
      <c r="A150" t="s">
        <v>24</v>
      </c>
      <c r="B150">
        <v>33</v>
      </c>
      <c r="C150" t="s">
        <v>12</v>
      </c>
      <c r="D150">
        <v>4</v>
      </c>
      <c r="E150" s="1">
        <v>44718</v>
      </c>
      <c r="F150">
        <v>10</v>
      </c>
      <c r="G150">
        <v>58</v>
      </c>
      <c r="H150">
        <v>28</v>
      </c>
      <c r="I150">
        <v>3.6</v>
      </c>
      <c r="J150">
        <v>48</v>
      </c>
      <c r="K150">
        <v>51</v>
      </c>
      <c r="L150">
        <v>13</v>
      </c>
      <c r="M150" t="s">
        <v>14</v>
      </c>
      <c r="N150">
        <v>16</v>
      </c>
      <c r="O150" t="s">
        <v>28</v>
      </c>
      <c r="P150">
        <v>11</v>
      </c>
      <c r="Q150" t="s">
        <v>22</v>
      </c>
      <c r="R150">
        <v>8</v>
      </c>
      <c r="S150">
        <f>YEAR(Table1[[#This Row],[Visitor Date]])</f>
        <v>2022</v>
      </c>
      <c r="T150" t="str">
        <f>TEXT(Table1[[#This Row],[Visitor Date]],"MMM")</f>
        <v>Jun</v>
      </c>
    </row>
    <row r="151" spans="1:20" x14ac:dyDescent="0.35">
      <c r="A151" t="s">
        <v>39</v>
      </c>
      <c r="B151">
        <v>91</v>
      </c>
      <c r="C151" t="s">
        <v>25</v>
      </c>
      <c r="D151">
        <v>55</v>
      </c>
      <c r="E151" s="1">
        <v>44719</v>
      </c>
      <c r="F151">
        <v>52</v>
      </c>
      <c r="G151">
        <v>54</v>
      </c>
      <c r="H151">
        <v>77</v>
      </c>
      <c r="I151">
        <v>4.4000000000000004</v>
      </c>
      <c r="J151">
        <v>59</v>
      </c>
      <c r="K151">
        <v>73</v>
      </c>
      <c r="L151">
        <v>16</v>
      </c>
      <c r="M151" t="s">
        <v>27</v>
      </c>
      <c r="N151">
        <v>7</v>
      </c>
      <c r="O151" t="s">
        <v>21</v>
      </c>
      <c r="P151">
        <v>15</v>
      </c>
      <c r="Q151" t="s">
        <v>29</v>
      </c>
      <c r="R151">
        <v>22</v>
      </c>
      <c r="S151">
        <f>YEAR(Table1[[#This Row],[Visitor Date]])</f>
        <v>2022</v>
      </c>
      <c r="T151" t="str">
        <f>TEXT(Table1[[#This Row],[Visitor Date]],"MMM")</f>
        <v>Jun</v>
      </c>
    </row>
    <row r="152" spans="1:20" x14ac:dyDescent="0.35">
      <c r="A152" t="s">
        <v>39</v>
      </c>
      <c r="B152">
        <v>91</v>
      </c>
      <c r="C152" t="s">
        <v>18</v>
      </c>
      <c r="D152">
        <v>84</v>
      </c>
      <c r="E152" s="1">
        <v>44720</v>
      </c>
      <c r="F152">
        <v>27</v>
      </c>
      <c r="G152">
        <v>56</v>
      </c>
      <c r="H152">
        <v>70</v>
      </c>
      <c r="I152">
        <v>3.8</v>
      </c>
      <c r="J152">
        <v>58</v>
      </c>
      <c r="K152">
        <v>58</v>
      </c>
      <c r="L152">
        <v>14</v>
      </c>
      <c r="M152" t="s">
        <v>27</v>
      </c>
      <c r="N152">
        <v>6</v>
      </c>
      <c r="O152" t="s">
        <v>21</v>
      </c>
      <c r="P152">
        <v>14</v>
      </c>
      <c r="Q152" t="s">
        <v>29</v>
      </c>
      <c r="R152">
        <v>21</v>
      </c>
      <c r="S152">
        <f>YEAR(Table1[[#This Row],[Visitor Date]])</f>
        <v>2022</v>
      </c>
      <c r="T152" t="str">
        <f>TEXT(Table1[[#This Row],[Visitor Date]],"MMM")</f>
        <v>Jun</v>
      </c>
    </row>
    <row r="153" spans="1:20" x14ac:dyDescent="0.35">
      <c r="A153" t="s">
        <v>39</v>
      </c>
      <c r="B153">
        <v>91</v>
      </c>
      <c r="C153" t="s">
        <v>12</v>
      </c>
      <c r="D153">
        <v>88</v>
      </c>
      <c r="E153" s="1">
        <v>44721</v>
      </c>
      <c r="F153">
        <v>12</v>
      </c>
      <c r="G153">
        <v>58</v>
      </c>
      <c r="H153">
        <v>65</v>
      </c>
      <c r="I153">
        <v>3.4</v>
      </c>
      <c r="J153">
        <v>5</v>
      </c>
      <c r="K153">
        <v>45</v>
      </c>
      <c r="L153">
        <v>13</v>
      </c>
      <c r="M153" t="s">
        <v>27</v>
      </c>
      <c r="N153">
        <v>5.5</v>
      </c>
      <c r="O153" t="s">
        <v>21</v>
      </c>
      <c r="P153">
        <v>12</v>
      </c>
      <c r="Q153" t="s">
        <v>29</v>
      </c>
      <c r="R153">
        <v>19</v>
      </c>
      <c r="S153">
        <f>YEAR(Table1[[#This Row],[Visitor Date]])</f>
        <v>2022</v>
      </c>
      <c r="T153" t="str">
        <f>TEXT(Table1[[#This Row],[Visitor Date]],"MMM")</f>
        <v>Jun</v>
      </c>
    </row>
    <row r="154" spans="1:20" x14ac:dyDescent="0.35">
      <c r="A154" t="s">
        <v>14</v>
      </c>
      <c r="B154">
        <v>44</v>
      </c>
      <c r="C154" t="s">
        <v>25</v>
      </c>
      <c r="D154">
        <v>43</v>
      </c>
      <c r="E154" s="1">
        <v>44722</v>
      </c>
      <c r="F154">
        <v>45</v>
      </c>
      <c r="G154">
        <v>89</v>
      </c>
      <c r="H154">
        <v>45</v>
      </c>
      <c r="I154">
        <v>3.2</v>
      </c>
      <c r="J154">
        <v>45</v>
      </c>
      <c r="K154">
        <v>31</v>
      </c>
      <c r="L154">
        <v>17</v>
      </c>
      <c r="M154" t="s">
        <v>14</v>
      </c>
      <c r="N154">
        <v>26</v>
      </c>
      <c r="O154" t="s">
        <v>21</v>
      </c>
      <c r="P154">
        <v>7</v>
      </c>
      <c r="Q154" t="s">
        <v>16</v>
      </c>
      <c r="R154">
        <v>7</v>
      </c>
      <c r="S154">
        <f>YEAR(Table1[[#This Row],[Visitor Date]])</f>
        <v>2022</v>
      </c>
      <c r="T154" t="str">
        <f>TEXT(Table1[[#This Row],[Visitor Date]],"MMM")</f>
        <v>Jun</v>
      </c>
    </row>
    <row r="155" spans="1:20" x14ac:dyDescent="0.35">
      <c r="A155" t="s">
        <v>14</v>
      </c>
      <c r="B155">
        <v>44</v>
      </c>
      <c r="C155" t="s">
        <v>18</v>
      </c>
      <c r="D155">
        <v>137</v>
      </c>
      <c r="E155" s="1">
        <v>44723</v>
      </c>
      <c r="F155">
        <v>38</v>
      </c>
      <c r="G155">
        <v>85</v>
      </c>
      <c r="H155">
        <v>40</v>
      </c>
      <c r="I155">
        <v>2.9</v>
      </c>
      <c r="J155">
        <v>44</v>
      </c>
      <c r="K155">
        <v>27</v>
      </c>
      <c r="L155">
        <v>16</v>
      </c>
      <c r="M155" t="s">
        <v>14</v>
      </c>
      <c r="N155">
        <v>25</v>
      </c>
      <c r="O155" t="s">
        <v>21</v>
      </c>
      <c r="P155">
        <v>6.5</v>
      </c>
      <c r="Q155" t="s">
        <v>16</v>
      </c>
      <c r="R155">
        <v>6.5</v>
      </c>
      <c r="S155">
        <f>YEAR(Table1[[#This Row],[Visitor Date]])</f>
        <v>2022</v>
      </c>
      <c r="T155" t="str">
        <f>TEXT(Table1[[#This Row],[Visitor Date]],"MMM")</f>
        <v>Jun</v>
      </c>
    </row>
    <row r="156" spans="1:20" x14ac:dyDescent="0.35">
      <c r="A156" t="s">
        <v>14</v>
      </c>
      <c r="B156">
        <v>44</v>
      </c>
      <c r="C156" t="s">
        <v>12</v>
      </c>
      <c r="D156">
        <v>20</v>
      </c>
      <c r="E156" s="1">
        <v>44724</v>
      </c>
      <c r="F156">
        <v>25</v>
      </c>
      <c r="G156">
        <v>83</v>
      </c>
      <c r="H156">
        <v>35</v>
      </c>
      <c r="I156">
        <v>3</v>
      </c>
      <c r="J156">
        <v>43</v>
      </c>
      <c r="K156">
        <v>78</v>
      </c>
      <c r="L156">
        <v>15</v>
      </c>
      <c r="M156" t="s">
        <v>14</v>
      </c>
      <c r="N156">
        <v>23</v>
      </c>
      <c r="O156" t="s">
        <v>21</v>
      </c>
      <c r="P156">
        <v>7</v>
      </c>
      <c r="Q156" t="s">
        <v>16</v>
      </c>
      <c r="R156">
        <v>5</v>
      </c>
      <c r="S156">
        <f>YEAR(Table1[[#This Row],[Visitor Date]])</f>
        <v>2022</v>
      </c>
      <c r="T156" t="str">
        <f>TEXT(Table1[[#This Row],[Visitor Date]],"MMM")</f>
        <v>Jun</v>
      </c>
    </row>
    <row r="157" spans="1:20" x14ac:dyDescent="0.35">
      <c r="A157" t="s">
        <v>31</v>
      </c>
      <c r="B157">
        <v>26</v>
      </c>
      <c r="C157" t="s">
        <v>25</v>
      </c>
      <c r="D157">
        <v>35</v>
      </c>
      <c r="E157" s="1">
        <v>44725</v>
      </c>
      <c r="F157">
        <v>10</v>
      </c>
      <c r="G157">
        <v>5.5</v>
      </c>
      <c r="H157">
        <v>76</v>
      </c>
      <c r="I157">
        <v>3.5</v>
      </c>
      <c r="J157">
        <v>48</v>
      </c>
      <c r="K157">
        <v>33</v>
      </c>
      <c r="L157">
        <v>6.5</v>
      </c>
      <c r="M157" t="s">
        <v>20</v>
      </c>
      <c r="N157">
        <v>22</v>
      </c>
      <c r="O157" t="s">
        <v>21</v>
      </c>
      <c r="P157">
        <v>15</v>
      </c>
      <c r="Q157" t="s">
        <v>29</v>
      </c>
      <c r="R157">
        <v>12</v>
      </c>
      <c r="S157">
        <f>YEAR(Table1[[#This Row],[Visitor Date]])</f>
        <v>2022</v>
      </c>
      <c r="T157" t="str">
        <f>TEXT(Table1[[#This Row],[Visitor Date]],"MMM")</f>
        <v>Jun</v>
      </c>
    </row>
    <row r="158" spans="1:20" x14ac:dyDescent="0.35">
      <c r="A158" t="s">
        <v>31</v>
      </c>
      <c r="B158">
        <v>26</v>
      </c>
      <c r="C158" t="s">
        <v>18</v>
      </c>
      <c r="D158">
        <v>29</v>
      </c>
      <c r="E158" s="1">
        <v>44726</v>
      </c>
      <c r="F158">
        <v>12</v>
      </c>
      <c r="G158">
        <v>6</v>
      </c>
      <c r="H158">
        <v>75</v>
      </c>
      <c r="I158">
        <v>3.1</v>
      </c>
      <c r="J158">
        <v>45</v>
      </c>
      <c r="K158">
        <v>28</v>
      </c>
      <c r="L158">
        <v>5</v>
      </c>
      <c r="M158" t="s">
        <v>20</v>
      </c>
      <c r="N158">
        <v>21</v>
      </c>
      <c r="O158" t="s">
        <v>21</v>
      </c>
      <c r="P158">
        <v>14</v>
      </c>
      <c r="Q158" t="s">
        <v>29</v>
      </c>
      <c r="R158">
        <v>11</v>
      </c>
      <c r="S158">
        <f>YEAR(Table1[[#This Row],[Visitor Date]])</f>
        <v>2022</v>
      </c>
      <c r="T158" t="str">
        <f>TEXT(Table1[[#This Row],[Visitor Date]],"MMM")</f>
        <v>Jun</v>
      </c>
    </row>
    <row r="159" spans="1:20" x14ac:dyDescent="0.35">
      <c r="A159" t="s">
        <v>31</v>
      </c>
      <c r="B159">
        <v>26</v>
      </c>
      <c r="C159" t="s">
        <v>12</v>
      </c>
      <c r="D159">
        <v>114</v>
      </c>
      <c r="E159" s="1">
        <v>44727</v>
      </c>
      <c r="F159">
        <v>8</v>
      </c>
      <c r="G159">
        <v>6.5</v>
      </c>
      <c r="H159">
        <v>70</v>
      </c>
      <c r="I159">
        <v>3</v>
      </c>
      <c r="J159">
        <v>42</v>
      </c>
      <c r="K159">
        <v>69</v>
      </c>
      <c r="L159">
        <v>4.5</v>
      </c>
      <c r="M159" t="s">
        <v>20</v>
      </c>
      <c r="N159">
        <v>20</v>
      </c>
      <c r="O159" t="s">
        <v>21</v>
      </c>
      <c r="P159">
        <v>12</v>
      </c>
      <c r="Q159" t="s">
        <v>29</v>
      </c>
      <c r="R159">
        <v>10</v>
      </c>
      <c r="S159">
        <f>YEAR(Table1[[#This Row],[Visitor Date]])</f>
        <v>2022</v>
      </c>
      <c r="T159" t="str">
        <f>TEXT(Table1[[#This Row],[Visitor Date]],"MMM")</f>
        <v>Jun</v>
      </c>
    </row>
    <row r="160" spans="1:20" x14ac:dyDescent="0.35">
      <c r="A160" t="s">
        <v>39</v>
      </c>
      <c r="B160">
        <v>91</v>
      </c>
      <c r="C160" t="s">
        <v>25</v>
      </c>
      <c r="D160">
        <v>60</v>
      </c>
      <c r="E160" s="1">
        <v>44728</v>
      </c>
      <c r="F160">
        <v>47</v>
      </c>
      <c r="G160">
        <v>54.88</v>
      </c>
      <c r="H160">
        <v>77</v>
      </c>
      <c r="I160">
        <v>4.4000000000000004</v>
      </c>
      <c r="J160">
        <v>61.5</v>
      </c>
      <c r="K160">
        <v>76</v>
      </c>
      <c r="L160">
        <v>17.100000000000001</v>
      </c>
      <c r="M160" t="s">
        <v>27</v>
      </c>
      <c r="N160">
        <v>6.2</v>
      </c>
      <c r="O160" t="s">
        <v>21</v>
      </c>
      <c r="P160">
        <v>17.399999999999999</v>
      </c>
      <c r="Q160" t="s">
        <v>29</v>
      </c>
      <c r="R160">
        <v>22.2</v>
      </c>
      <c r="S160">
        <f>YEAR(Table1[[#This Row],[Visitor Date]])</f>
        <v>2022</v>
      </c>
      <c r="T160" t="str">
        <f>TEXT(Table1[[#This Row],[Visitor Date]],"MMM")</f>
        <v>Jun</v>
      </c>
    </row>
    <row r="161" spans="1:20" x14ac:dyDescent="0.35">
      <c r="A161" t="s">
        <v>14</v>
      </c>
      <c r="B161">
        <v>44</v>
      </c>
      <c r="C161" t="s">
        <v>18</v>
      </c>
      <c r="D161">
        <v>66</v>
      </c>
      <c r="E161" s="1">
        <v>44729</v>
      </c>
      <c r="F161">
        <v>44</v>
      </c>
      <c r="G161">
        <v>91.47</v>
      </c>
      <c r="H161">
        <v>49</v>
      </c>
      <c r="I161">
        <v>2.7</v>
      </c>
      <c r="J161">
        <v>47.8</v>
      </c>
      <c r="K161">
        <v>37</v>
      </c>
      <c r="L161">
        <v>18</v>
      </c>
      <c r="M161" t="s">
        <v>14</v>
      </c>
      <c r="N161">
        <v>27.5</v>
      </c>
      <c r="O161" t="s">
        <v>21</v>
      </c>
      <c r="P161">
        <v>8.1</v>
      </c>
      <c r="Q161" t="s">
        <v>16</v>
      </c>
      <c r="R161">
        <v>6.9</v>
      </c>
      <c r="S161">
        <f>YEAR(Table1[[#This Row],[Visitor Date]])</f>
        <v>2022</v>
      </c>
      <c r="T161" t="str">
        <f>TEXT(Table1[[#This Row],[Visitor Date]],"MMM")</f>
        <v>Jun</v>
      </c>
    </row>
    <row r="162" spans="1:20" x14ac:dyDescent="0.35">
      <c r="A162" t="s">
        <v>31</v>
      </c>
      <c r="B162">
        <v>26</v>
      </c>
      <c r="C162" t="s">
        <v>25</v>
      </c>
      <c r="D162">
        <v>53</v>
      </c>
      <c r="E162" s="1">
        <v>44730</v>
      </c>
      <c r="F162">
        <v>8</v>
      </c>
      <c r="G162">
        <v>6.04</v>
      </c>
      <c r="H162">
        <v>78</v>
      </c>
      <c r="I162">
        <v>3.2</v>
      </c>
      <c r="J162">
        <v>48.7</v>
      </c>
      <c r="K162">
        <v>39</v>
      </c>
      <c r="L162">
        <v>5.8</v>
      </c>
      <c r="M162" t="s">
        <v>20</v>
      </c>
      <c r="N162">
        <v>23.6</v>
      </c>
      <c r="O162" t="s">
        <v>21</v>
      </c>
      <c r="P162">
        <v>18.399999999999999</v>
      </c>
      <c r="Q162" t="s">
        <v>29</v>
      </c>
      <c r="R162">
        <v>11.6</v>
      </c>
      <c r="S162">
        <f>YEAR(Table1[[#This Row],[Visitor Date]])</f>
        <v>2022</v>
      </c>
      <c r="T162" t="str">
        <f>TEXT(Table1[[#This Row],[Visitor Date]],"MMM")</f>
        <v>Jun</v>
      </c>
    </row>
    <row r="163" spans="1:20" x14ac:dyDescent="0.35">
      <c r="A163" t="s">
        <v>11</v>
      </c>
      <c r="B163">
        <v>68</v>
      </c>
      <c r="C163" t="s">
        <v>18</v>
      </c>
      <c r="D163">
        <v>64</v>
      </c>
      <c r="E163" s="1">
        <v>44731</v>
      </c>
      <c r="F163">
        <v>11</v>
      </c>
      <c r="G163">
        <v>90</v>
      </c>
      <c r="H163">
        <v>54</v>
      </c>
      <c r="I163">
        <v>3.3</v>
      </c>
      <c r="J163">
        <v>7.8</v>
      </c>
      <c r="K163">
        <v>38</v>
      </c>
      <c r="L163">
        <v>11</v>
      </c>
      <c r="M163" t="s">
        <v>27</v>
      </c>
      <c r="N163">
        <v>5.3</v>
      </c>
      <c r="O163" t="s">
        <v>34</v>
      </c>
      <c r="P163">
        <v>20.5</v>
      </c>
      <c r="Q163" t="s">
        <v>16</v>
      </c>
      <c r="R163">
        <v>19.5</v>
      </c>
      <c r="S163">
        <f>YEAR(Table1[[#This Row],[Visitor Date]])</f>
        <v>2022</v>
      </c>
      <c r="T163" t="str">
        <f>TEXT(Table1[[#This Row],[Visitor Date]],"MMM")</f>
        <v>Jun</v>
      </c>
    </row>
    <row r="164" spans="1:20" x14ac:dyDescent="0.35">
      <c r="A164" t="s">
        <v>36</v>
      </c>
      <c r="B164">
        <v>14</v>
      </c>
      <c r="C164" t="s">
        <v>18</v>
      </c>
      <c r="D164">
        <v>2</v>
      </c>
      <c r="E164" s="1">
        <v>44732</v>
      </c>
      <c r="F164">
        <v>14</v>
      </c>
      <c r="G164">
        <v>70.63</v>
      </c>
      <c r="H164">
        <v>41</v>
      </c>
      <c r="I164">
        <v>3.9</v>
      </c>
      <c r="J164">
        <v>59.4</v>
      </c>
      <c r="K164">
        <v>25</v>
      </c>
      <c r="L164">
        <v>15.6</v>
      </c>
      <c r="M164" t="s">
        <v>20</v>
      </c>
      <c r="N164">
        <v>23.7</v>
      </c>
      <c r="O164" t="s">
        <v>15</v>
      </c>
      <c r="P164">
        <v>15.6</v>
      </c>
      <c r="Q164" t="s">
        <v>16</v>
      </c>
      <c r="R164">
        <v>15.1</v>
      </c>
      <c r="S164">
        <f>YEAR(Table1[[#This Row],[Visitor Date]])</f>
        <v>2022</v>
      </c>
      <c r="T164" t="str">
        <f>TEXT(Table1[[#This Row],[Visitor Date]],"MMM")</f>
        <v>Jun</v>
      </c>
    </row>
    <row r="165" spans="1:20" x14ac:dyDescent="0.35">
      <c r="A165" t="s">
        <v>39</v>
      </c>
      <c r="B165">
        <v>91</v>
      </c>
      <c r="C165" t="s">
        <v>25</v>
      </c>
      <c r="D165">
        <v>157</v>
      </c>
      <c r="E165" s="1">
        <v>44733</v>
      </c>
      <c r="F165">
        <v>52</v>
      </c>
      <c r="G165">
        <v>54</v>
      </c>
      <c r="H165">
        <v>77</v>
      </c>
      <c r="I165">
        <v>4.5999999999999996</v>
      </c>
      <c r="J165">
        <v>58</v>
      </c>
      <c r="K165">
        <v>73</v>
      </c>
      <c r="L165">
        <v>17</v>
      </c>
      <c r="M165" t="s">
        <v>27</v>
      </c>
      <c r="N165">
        <v>8</v>
      </c>
      <c r="O165" t="s">
        <v>21</v>
      </c>
      <c r="P165">
        <v>16</v>
      </c>
      <c r="Q165" t="s">
        <v>29</v>
      </c>
      <c r="R165">
        <v>23</v>
      </c>
      <c r="S165">
        <f>YEAR(Table1[[#This Row],[Visitor Date]])</f>
        <v>2022</v>
      </c>
      <c r="T165" t="str">
        <f>TEXT(Table1[[#This Row],[Visitor Date]],"MMM")</f>
        <v>Jun</v>
      </c>
    </row>
    <row r="166" spans="1:20" x14ac:dyDescent="0.35">
      <c r="A166" t="s">
        <v>14</v>
      </c>
      <c r="B166">
        <v>44</v>
      </c>
      <c r="C166" t="s">
        <v>25</v>
      </c>
      <c r="D166">
        <v>129</v>
      </c>
      <c r="E166" s="1">
        <v>44734</v>
      </c>
      <c r="F166">
        <v>45</v>
      </c>
      <c r="G166">
        <v>89</v>
      </c>
      <c r="H166">
        <v>47</v>
      </c>
      <c r="I166">
        <v>3.3</v>
      </c>
      <c r="J166">
        <v>45</v>
      </c>
      <c r="K166">
        <v>32</v>
      </c>
      <c r="L166">
        <v>18</v>
      </c>
      <c r="M166" t="s">
        <v>14</v>
      </c>
      <c r="N166">
        <v>27.5</v>
      </c>
      <c r="O166" t="s">
        <v>21</v>
      </c>
      <c r="P166">
        <v>9.5</v>
      </c>
      <c r="Q166" t="s">
        <v>16</v>
      </c>
      <c r="R166">
        <v>8.5</v>
      </c>
      <c r="S166">
        <f>YEAR(Table1[[#This Row],[Visitor Date]])</f>
        <v>2022</v>
      </c>
      <c r="T166" t="str">
        <f>TEXT(Table1[[#This Row],[Visitor Date]],"MMM")</f>
        <v>Jun</v>
      </c>
    </row>
    <row r="167" spans="1:20" x14ac:dyDescent="0.35">
      <c r="A167" t="s">
        <v>31</v>
      </c>
      <c r="B167">
        <v>26</v>
      </c>
      <c r="C167" t="s">
        <v>18</v>
      </c>
      <c r="D167">
        <v>269</v>
      </c>
      <c r="E167" s="1">
        <v>44735</v>
      </c>
      <c r="F167">
        <v>10</v>
      </c>
      <c r="G167">
        <v>5.5</v>
      </c>
      <c r="H167">
        <v>76</v>
      </c>
      <c r="I167">
        <v>3.5</v>
      </c>
      <c r="J167">
        <v>48</v>
      </c>
      <c r="K167">
        <v>33</v>
      </c>
      <c r="L167">
        <v>6.5</v>
      </c>
      <c r="M167" t="s">
        <v>20</v>
      </c>
      <c r="N167">
        <v>22</v>
      </c>
      <c r="O167" t="s">
        <v>21</v>
      </c>
      <c r="P167">
        <v>15</v>
      </c>
      <c r="Q167" t="s">
        <v>29</v>
      </c>
      <c r="R167">
        <v>12</v>
      </c>
      <c r="S167">
        <f>YEAR(Table1[[#This Row],[Visitor Date]])</f>
        <v>2022</v>
      </c>
      <c r="T167" t="str">
        <f>TEXT(Table1[[#This Row],[Visitor Date]],"MMM")</f>
        <v>Jun</v>
      </c>
    </row>
    <row r="168" spans="1:20" x14ac:dyDescent="0.35">
      <c r="A168" t="s">
        <v>24</v>
      </c>
      <c r="B168">
        <v>33</v>
      </c>
      <c r="C168" t="s">
        <v>25</v>
      </c>
      <c r="D168">
        <v>34</v>
      </c>
      <c r="E168" s="1">
        <v>44736</v>
      </c>
      <c r="F168">
        <v>20</v>
      </c>
      <c r="G168">
        <v>63</v>
      </c>
      <c r="H168">
        <v>77</v>
      </c>
      <c r="I168">
        <v>4.3</v>
      </c>
      <c r="J168">
        <v>53</v>
      </c>
      <c r="K168">
        <v>96</v>
      </c>
      <c r="L168">
        <v>15</v>
      </c>
      <c r="M168" t="s">
        <v>14</v>
      </c>
      <c r="N168">
        <v>19</v>
      </c>
      <c r="O168" t="s">
        <v>28</v>
      </c>
      <c r="P168">
        <v>14</v>
      </c>
      <c r="Q168" t="s">
        <v>22</v>
      </c>
      <c r="R168">
        <v>11</v>
      </c>
      <c r="S168">
        <f>YEAR(Table1[[#This Row],[Visitor Date]])</f>
        <v>2022</v>
      </c>
      <c r="T168" t="str">
        <f>TEXT(Table1[[#This Row],[Visitor Date]],"MMM")</f>
        <v>Jun</v>
      </c>
    </row>
    <row r="169" spans="1:20" x14ac:dyDescent="0.35">
      <c r="A169" t="s">
        <v>24</v>
      </c>
      <c r="B169">
        <v>33</v>
      </c>
      <c r="C169" t="s">
        <v>18</v>
      </c>
      <c r="D169">
        <v>30</v>
      </c>
      <c r="E169" s="1">
        <v>44737</v>
      </c>
      <c r="F169">
        <v>15</v>
      </c>
      <c r="G169">
        <v>59</v>
      </c>
      <c r="H169">
        <v>78</v>
      </c>
      <c r="I169">
        <v>3.9</v>
      </c>
      <c r="J169">
        <v>51</v>
      </c>
      <c r="K169">
        <v>80</v>
      </c>
      <c r="L169">
        <v>14</v>
      </c>
      <c r="M169" t="s">
        <v>14</v>
      </c>
      <c r="N169">
        <v>18</v>
      </c>
      <c r="O169" t="s">
        <v>28</v>
      </c>
      <c r="P169">
        <v>13</v>
      </c>
      <c r="Q169" t="s">
        <v>22</v>
      </c>
      <c r="R169">
        <v>10</v>
      </c>
      <c r="S169">
        <f>YEAR(Table1[[#This Row],[Visitor Date]])</f>
        <v>2022</v>
      </c>
      <c r="T169" t="str">
        <f>TEXT(Table1[[#This Row],[Visitor Date]],"MMM")</f>
        <v>Jun</v>
      </c>
    </row>
    <row r="170" spans="1:20" x14ac:dyDescent="0.35">
      <c r="A170" t="s">
        <v>24</v>
      </c>
      <c r="B170">
        <v>33</v>
      </c>
      <c r="C170" t="s">
        <v>12</v>
      </c>
      <c r="D170">
        <v>4</v>
      </c>
      <c r="E170" s="1">
        <v>44738</v>
      </c>
      <c r="F170">
        <v>10</v>
      </c>
      <c r="G170">
        <v>58</v>
      </c>
      <c r="H170">
        <v>79</v>
      </c>
      <c r="I170">
        <v>3.6</v>
      </c>
      <c r="J170">
        <v>48</v>
      </c>
      <c r="K170">
        <v>51</v>
      </c>
      <c r="L170">
        <v>13</v>
      </c>
      <c r="M170" t="s">
        <v>14</v>
      </c>
      <c r="N170">
        <v>16</v>
      </c>
      <c r="O170" t="s">
        <v>28</v>
      </c>
      <c r="P170">
        <v>11</v>
      </c>
      <c r="Q170" t="s">
        <v>22</v>
      </c>
      <c r="R170">
        <v>8</v>
      </c>
      <c r="S170">
        <f>YEAR(Table1[[#This Row],[Visitor Date]])</f>
        <v>2022</v>
      </c>
      <c r="T170" t="str">
        <f>TEXT(Table1[[#This Row],[Visitor Date]],"MMM")</f>
        <v>Jun</v>
      </c>
    </row>
    <row r="171" spans="1:20" x14ac:dyDescent="0.35">
      <c r="A171" t="s">
        <v>36</v>
      </c>
      <c r="B171">
        <v>14</v>
      </c>
      <c r="C171" t="s">
        <v>25</v>
      </c>
      <c r="D171">
        <v>19</v>
      </c>
      <c r="E171" s="1">
        <v>44739</v>
      </c>
      <c r="F171">
        <v>17</v>
      </c>
      <c r="G171">
        <v>72</v>
      </c>
      <c r="H171">
        <v>42</v>
      </c>
      <c r="I171">
        <v>4</v>
      </c>
      <c r="J171">
        <v>60</v>
      </c>
      <c r="K171">
        <v>98</v>
      </c>
      <c r="L171">
        <v>14.5</v>
      </c>
      <c r="M171" t="s">
        <v>20</v>
      </c>
      <c r="N171">
        <v>21</v>
      </c>
      <c r="O171" t="s">
        <v>15</v>
      </c>
      <c r="P171">
        <v>16</v>
      </c>
      <c r="Q171" t="s">
        <v>16</v>
      </c>
      <c r="R171">
        <v>15.5</v>
      </c>
      <c r="S171">
        <f>YEAR(Table1[[#This Row],[Visitor Date]])</f>
        <v>2022</v>
      </c>
      <c r="T171" t="str">
        <f>TEXT(Table1[[#This Row],[Visitor Date]],"MMM")</f>
        <v>Jun</v>
      </c>
    </row>
    <row r="172" spans="1:20" x14ac:dyDescent="0.35">
      <c r="A172" t="s">
        <v>36</v>
      </c>
      <c r="B172">
        <v>14</v>
      </c>
      <c r="C172" t="s">
        <v>18</v>
      </c>
      <c r="D172">
        <v>116</v>
      </c>
      <c r="E172" s="1">
        <v>44740</v>
      </c>
      <c r="F172">
        <v>10</v>
      </c>
      <c r="G172">
        <v>67</v>
      </c>
      <c r="H172">
        <v>27</v>
      </c>
      <c r="I172">
        <v>3.5</v>
      </c>
      <c r="J172">
        <v>56</v>
      </c>
      <c r="K172">
        <v>62</v>
      </c>
      <c r="L172">
        <v>12.5</v>
      </c>
      <c r="M172" t="s">
        <v>20</v>
      </c>
      <c r="N172">
        <v>20.5</v>
      </c>
      <c r="O172" t="s">
        <v>15</v>
      </c>
      <c r="P172">
        <v>14</v>
      </c>
      <c r="Q172" t="s">
        <v>16</v>
      </c>
      <c r="R172">
        <v>13</v>
      </c>
      <c r="S172">
        <f>YEAR(Table1[[#This Row],[Visitor Date]])</f>
        <v>2022</v>
      </c>
      <c r="T172" t="str">
        <f>TEXT(Table1[[#This Row],[Visitor Date]],"MMM")</f>
        <v>Jun</v>
      </c>
    </row>
    <row r="173" spans="1:20" x14ac:dyDescent="0.35">
      <c r="A173" t="s">
        <v>36</v>
      </c>
      <c r="B173">
        <v>14</v>
      </c>
      <c r="C173" t="s">
        <v>12</v>
      </c>
      <c r="D173">
        <v>4</v>
      </c>
      <c r="E173" s="1">
        <v>44741</v>
      </c>
      <c r="F173">
        <v>9</v>
      </c>
      <c r="G173">
        <v>66</v>
      </c>
      <c r="H173">
        <v>25</v>
      </c>
      <c r="I173">
        <v>3.4</v>
      </c>
      <c r="J173">
        <v>54</v>
      </c>
      <c r="K173">
        <v>52</v>
      </c>
      <c r="L173">
        <v>12</v>
      </c>
      <c r="M173" t="s">
        <v>20</v>
      </c>
      <c r="N173">
        <v>19</v>
      </c>
      <c r="O173" t="s">
        <v>15</v>
      </c>
      <c r="P173">
        <v>13</v>
      </c>
      <c r="Q173" t="s">
        <v>16</v>
      </c>
      <c r="R173">
        <v>12</v>
      </c>
      <c r="S173">
        <f>YEAR(Table1[[#This Row],[Visitor Date]])</f>
        <v>2022</v>
      </c>
      <c r="T173" t="str">
        <f>TEXT(Table1[[#This Row],[Visitor Date]],"MMM")</f>
        <v>Jun</v>
      </c>
    </row>
    <row r="174" spans="1:20" x14ac:dyDescent="0.35">
      <c r="A174" t="s">
        <v>11</v>
      </c>
      <c r="B174">
        <v>68</v>
      </c>
      <c r="C174" t="s">
        <v>25</v>
      </c>
      <c r="D174">
        <v>62</v>
      </c>
      <c r="E174" s="1">
        <v>44742</v>
      </c>
      <c r="F174">
        <v>15</v>
      </c>
      <c r="G174">
        <v>91.5</v>
      </c>
      <c r="H174">
        <v>57</v>
      </c>
      <c r="I174">
        <v>3.7</v>
      </c>
      <c r="J174">
        <v>6</v>
      </c>
      <c r="K174">
        <v>38</v>
      </c>
      <c r="L174">
        <v>12</v>
      </c>
      <c r="M174" t="s">
        <v>27</v>
      </c>
      <c r="N174">
        <v>5.5</v>
      </c>
      <c r="O174" t="s">
        <v>34</v>
      </c>
      <c r="P174">
        <v>20</v>
      </c>
      <c r="Q174" t="s">
        <v>16</v>
      </c>
      <c r="R174">
        <v>18.5</v>
      </c>
      <c r="S174">
        <f>YEAR(Table1[[#This Row],[Visitor Date]])</f>
        <v>2022</v>
      </c>
      <c r="T174" t="str">
        <f>TEXT(Table1[[#This Row],[Visitor Date]],"MMM")</f>
        <v>Jun</v>
      </c>
    </row>
    <row r="175" spans="1:20" x14ac:dyDescent="0.35">
      <c r="A175" t="s">
        <v>11</v>
      </c>
      <c r="B175">
        <v>68</v>
      </c>
      <c r="C175" t="s">
        <v>18</v>
      </c>
      <c r="D175">
        <v>28</v>
      </c>
      <c r="E175" s="1">
        <v>44743</v>
      </c>
      <c r="F175">
        <v>12</v>
      </c>
      <c r="G175">
        <v>89</v>
      </c>
      <c r="H175">
        <v>53</v>
      </c>
      <c r="I175">
        <v>3.1</v>
      </c>
      <c r="K175">
        <v>99</v>
      </c>
      <c r="L175">
        <v>11.5</v>
      </c>
      <c r="M175" t="s">
        <v>27</v>
      </c>
      <c r="N175">
        <v>4.5</v>
      </c>
      <c r="O175" t="s">
        <v>34</v>
      </c>
      <c r="P175">
        <v>18</v>
      </c>
      <c r="Q175" t="s">
        <v>16</v>
      </c>
      <c r="R175">
        <v>17</v>
      </c>
      <c r="S175">
        <f>YEAR(Table1[[#This Row],[Visitor Date]])</f>
        <v>2022</v>
      </c>
      <c r="T175" t="str">
        <f>TEXT(Table1[[#This Row],[Visitor Date]],"MMM")</f>
        <v>Jul</v>
      </c>
    </row>
    <row r="176" spans="1:20" x14ac:dyDescent="0.35">
      <c r="A176" t="s">
        <v>11</v>
      </c>
      <c r="B176">
        <v>68</v>
      </c>
      <c r="C176" t="s">
        <v>12</v>
      </c>
      <c r="D176">
        <v>115</v>
      </c>
      <c r="E176" s="1">
        <v>44744</v>
      </c>
      <c r="F176">
        <v>10</v>
      </c>
      <c r="G176">
        <v>88</v>
      </c>
      <c r="H176">
        <v>45</v>
      </c>
      <c r="I176">
        <v>2.9</v>
      </c>
      <c r="J176">
        <v>64</v>
      </c>
      <c r="K176">
        <v>55</v>
      </c>
      <c r="L176">
        <v>10</v>
      </c>
      <c r="M176" t="s">
        <v>27</v>
      </c>
      <c r="N176">
        <v>4</v>
      </c>
      <c r="O176" t="s">
        <v>34</v>
      </c>
      <c r="P176">
        <v>16.5</v>
      </c>
      <c r="Q176" t="s">
        <v>16</v>
      </c>
      <c r="R176">
        <v>15</v>
      </c>
      <c r="S176">
        <f>YEAR(Table1[[#This Row],[Visitor Date]])</f>
        <v>2022</v>
      </c>
      <c r="T176" t="str">
        <f>TEXT(Table1[[#This Row],[Visitor Date]],"MMM")</f>
        <v>Jul</v>
      </c>
    </row>
    <row r="177" spans="1:20" x14ac:dyDescent="0.35">
      <c r="A177" t="s">
        <v>39</v>
      </c>
      <c r="B177">
        <v>91</v>
      </c>
      <c r="C177" t="s">
        <v>25</v>
      </c>
      <c r="D177">
        <v>34</v>
      </c>
      <c r="E177" s="1">
        <v>44745</v>
      </c>
      <c r="F177">
        <v>9</v>
      </c>
      <c r="G177">
        <v>5.5</v>
      </c>
      <c r="H177">
        <v>76</v>
      </c>
      <c r="I177">
        <v>3.5</v>
      </c>
      <c r="J177">
        <v>48</v>
      </c>
      <c r="K177">
        <v>33</v>
      </c>
      <c r="L177">
        <v>6.5</v>
      </c>
      <c r="M177" t="s">
        <v>20</v>
      </c>
      <c r="N177">
        <v>22</v>
      </c>
      <c r="O177" t="s">
        <v>21</v>
      </c>
      <c r="P177">
        <v>15</v>
      </c>
      <c r="Q177" t="s">
        <v>29</v>
      </c>
      <c r="R177">
        <v>12</v>
      </c>
      <c r="S177">
        <f>YEAR(Table1[[#This Row],[Visitor Date]])</f>
        <v>2022</v>
      </c>
      <c r="T177" t="str">
        <f>TEXT(Table1[[#This Row],[Visitor Date]],"MMM")</f>
        <v>Jul</v>
      </c>
    </row>
    <row r="178" spans="1:20" x14ac:dyDescent="0.35">
      <c r="A178" t="s">
        <v>31</v>
      </c>
      <c r="B178">
        <v>26</v>
      </c>
      <c r="C178" t="s">
        <v>18</v>
      </c>
      <c r="D178">
        <v>28</v>
      </c>
      <c r="E178" s="1">
        <v>44746</v>
      </c>
      <c r="F178">
        <v>12</v>
      </c>
      <c r="G178">
        <v>6</v>
      </c>
      <c r="H178">
        <v>75</v>
      </c>
      <c r="I178">
        <v>3.1</v>
      </c>
      <c r="J178">
        <v>45</v>
      </c>
      <c r="K178">
        <v>28</v>
      </c>
      <c r="L178">
        <v>5</v>
      </c>
      <c r="M178" t="s">
        <v>20</v>
      </c>
      <c r="N178">
        <v>21</v>
      </c>
      <c r="O178" t="s">
        <v>21</v>
      </c>
      <c r="P178">
        <v>14</v>
      </c>
      <c r="Q178" t="s">
        <v>29</v>
      </c>
      <c r="R178">
        <v>11</v>
      </c>
      <c r="S178">
        <f>YEAR(Table1[[#This Row],[Visitor Date]])</f>
        <v>2022</v>
      </c>
      <c r="T178" t="str">
        <f>TEXT(Table1[[#This Row],[Visitor Date]],"MMM")</f>
        <v>Jul</v>
      </c>
    </row>
    <row r="179" spans="1:20" x14ac:dyDescent="0.35">
      <c r="A179" t="s">
        <v>31</v>
      </c>
      <c r="B179">
        <v>26</v>
      </c>
      <c r="C179" t="s">
        <v>12</v>
      </c>
      <c r="D179">
        <v>8</v>
      </c>
      <c r="E179" s="1">
        <v>44747</v>
      </c>
      <c r="F179">
        <v>8</v>
      </c>
      <c r="G179">
        <v>6.5</v>
      </c>
      <c r="H179">
        <v>70</v>
      </c>
      <c r="I179">
        <v>3</v>
      </c>
      <c r="J179">
        <v>42</v>
      </c>
      <c r="K179">
        <v>69</v>
      </c>
      <c r="L179">
        <v>4.5</v>
      </c>
      <c r="M179" t="s">
        <v>20</v>
      </c>
      <c r="N179">
        <v>20</v>
      </c>
      <c r="O179" t="s">
        <v>21</v>
      </c>
      <c r="P179">
        <v>12</v>
      </c>
      <c r="Q179" t="s">
        <v>16</v>
      </c>
      <c r="R179">
        <v>23</v>
      </c>
      <c r="S179">
        <f>YEAR(Table1[[#This Row],[Visitor Date]])</f>
        <v>2022</v>
      </c>
      <c r="T179" t="str">
        <f>TEXT(Table1[[#This Row],[Visitor Date]],"MMM")</f>
        <v>Jul</v>
      </c>
    </row>
    <row r="180" spans="1:20" x14ac:dyDescent="0.35">
      <c r="A180" t="s">
        <v>39</v>
      </c>
      <c r="B180">
        <v>91</v>
      </c>
      <c r="C180" t="s">
        <v>25</v>
      </c>
      <c r="D180">
        <v>57</v>
      </c>
      <c r="E180" s="1">
        <v>44748</v>
      </c>
      <c r="F180">
        <v>53</v>
      </c>
      <c r="G180">
        <v>54</v>
      </c>
      <c r="H180">
        <v>77</v>
      </c>
      <c r="I180">
        <v>4.5999999999999996</v>
      </c>
      <c r="J180">
        <v>58</v>
      </c>
      <c r="K180">
        <v>73</v>
      </c>
      <c r="L180">
        <v>17</v>
      </c>
      <c r="M180" t="s">
        <v>27</v>
      </c>
      <c r="N180">
        <v>8</v>
      </c>
      <c r="O180" t="s">
        <v>21</v>
      </c>
      <c r="P180">
        <v>16</v>
      </c>
      <c r="Q180" t="s">
        <v>29</v>
      </c>
      <c r="R180">
        <v>23</v>
      </c>
      <c r="S180">
        <f>YEAR(Table1[[#This Row],[Visitor Date]])</f>
        <v>2022</v>
      </c>
      <c r="T180" t="str">
        <f>TEXT(Table1[[#This Row],[Visitor Date]],"MMM")</f>
        <v>Jul</v>
      </c>
    </row>
    <row r="181" spans="1:20" x14ac:dyDescent="0.35">
      <c r="A181" t="s">
        <v>39</v>
      </c>
      <c r="B181">
        <v>91</v>
      </c>
      <c r="C181" t="s">
        <v>18</v>
      </c>
      <c r="D181">
        <v>156</v>
      </c>
      <c r="E181" s="1">
        <v>44749</v>
      </c>
      <c r="F181">
        <v>30</v>
      </c>
      <c r="G181">
        <v>56</v>
      </c>
      <c r="H181">
        <v>72</v>
      </c>
      <c r="I181">
        <v>3.9</v>
      </c>
      <c r="J181">
        <v>57</v>
      </c>
      <c r="K181">
        <v>62</v>
      </c>
      <c r="L181">
        <v>15.5</v>
      </c>
      <c r="M181" t="s">
        <v>27</v>
      </c>
      <c r="N181">
        <v>7.5</v>
      </c>
      <c r="O181" t="s">
        <v>21</v>
      </c>
      <c r="P181">
        <v>15</v>
      </c>
      <c r="Q181" t="s">
        <v>29</v>
      </c>
      <c r="R181">
        <v>21.5</v>
      </c>
      <c r="S181">
        <f>YEAR(Table1[[#This Row],[Visitor Date]])</f>
        <v>2022</v>
      </c>
      <c r="T181" t="str">
        <f>TEXT(Table1[[#This Row],[Visitor Date]],"MMM")</f>
        <v>Jul</v>
      </c>
    </row>
    <row r="182" spans="1:20" x14ac:dyDescent="0.35">
      <c r="A182" t="s">
        <v>39</v>
      </c>
      <c r="B182">
        <v>91</v>
      </c>
      <c r="C182" t="s">
        <v>12</v>
      </c>
      <c r="D182">
        <v>22</v>
      </c>
      <c r="E182" s="1">
        <v>44750</v>
      </c>
      <c r="F182">
        <v>12</v>
      </c>
      <c r="G182">
        <v>58</v>
      </c>
      <c r="H182">
        <v>67</v>
      </c>
      <c r="I182">
        <v>3.3</v>
      </c>
      <c r="J182">
        <v>15</v>
      </c>
      <c r="K182">
        <v>46</v>
      </c>
      <c r="L182">
        <v>14</v>
      </c>
      <c r="M182" t="s">
        <v>27</v>
      </c>
      <c r="N182">
        <v>6</v>
      </c>
      <c r="O182" t="s">
        <v>21</v>
      </c>
      <c r="P182">
        <v>13.5</v>
      </c>
      <c r="Q182" t="s">
        <v>29</v>
      </c>
      <c r="R182">
        <v>20</v>
      </c>
      <c r="S182">
        <f>YEAR(Table1[[#This Row],[Visitor Date]])</f>
        <v>2022</v>
      </c>
      <c r="T182" t="str">
        <f>TEXT(Table1[[#This Row],[Visitor Date]],"MMM")</f>
        <v>Jul</v>
      </c>
    </row>
    <row r="183" spans="1:20" x14ac:dyDescent="0.35">
      <c r="A183" t="s">
        <v>14</v>
      </c>
      <c r="B183">
        <v>44</v>
      </c>
      <c r="C183" t="s">
        <v>25</v>
      </c>
      <c r="D183">
        <v>46</v>
      </c>
      <c r="E183" s="1">
        <v>44751</v>
      </c>
      <c r="F183">
        <v>47</v>
      </c>
      <c r="G183">
        <v>90</v>
      </c>
      <c r="H183">
        <v>47</v>
      </c>
      <c r="I183">
        <v>3.3</v>
      </c>
      <c r="J183">
        <v>45</v>
      </c>
      <c r="K183">
        <v>32</v>
      </c>
      <c r="L183">
        <v>18</v>
      </c>
      <c r="M183" t="s">
        <v>14</v>
      </c>
      <c r="N183">
        <v>27.5</v>
      </c>
      <c r="O183" t="s">
        <v>21</v>
      </c>
      <c r="P183">
        <v>9.5</v>
      </c>
      <c r="Q183" t="s">
        <v>16</v>
      </c>
      <c r="R183">
        <v>8.5</v>
      </c>
      <c r="S183">
        <f>YEAR(Table1[[#This Row],[Visitor Date]])</f>
        <v>2022</v>
      </c>
      <c r="T183" t="str">
        <f>TEXT(Table1[[#This Row],[Visitor Date]],"MMM")</f>
        <v>Jul</v>
      </c>
    </row>
    <row r="184" spans="1:20" x14ac:dyDescent="0.35">
      <c r="A184" t="s">
        <v>14</v>
      </c>
      <c r="B184">
        <v>44</v>
      </c>
      <c r="C184" t="s">
        <v>18</v>
      </c>
      <c r="D184">
        <v>139</v>
      </c>
      <c r="E184" s="1">
        <v>44752</v>
      </c>
      <c r="F184">
        <v>39</v>
      </c>
      <c r="G184">
        <v>87</v>
      </c>
      <c r="H184">
        <v>41</v>
      </c>
      <c r="I184">
        <v>3</v>
      </c>
      <c r="J184">
        <v>44</v>
      </c>
      <c r="K184">
        <v>27</v>
      </c>
      <c r="L184">
        <v>17</v>
      </c>
      <c r="M184" t="s">
        <v>14</v>
      </c>
      <c r="N184">
        <v>26</v>
      </c>
      <c r="O184" t="s">
        <v>21</v>
      </c>
      <c r="P184">
        <v>8</v>
      </c>
      <c r="Q184" t="s">
        <v>16</v>
      </c>
      <c r="R184">
        <v>7.5</v>
      </c>
      <c r="S184">
        <f>YEAR(Table1[[#This Row],[Visitor Date]])</f>
        <v>2022</v>
      </c>
      <c r="T184" t="str">
        <f>TEXT(Table1[[#This Row],[Visitor Date]],"MMM")</f>
        <v>Jul</v>
      </c>
    </row>
    <row r="185" spans="1:20" x14ac:dyDescent="0.35">
      <c r="A185" t="s">
        <v>14</v>
      </c>
      <c r="B185">
        <v>44</v>
      </c>
      <c r="C185" t="s">
        <v>12</v>
      </c>
      <c r="D185">
        <v>29</v>
      </c>
      <c r="E185" s="1">
        <v>44753</v>
      </c>
      <c r="F185">
        <v>25</v>
      </c>
      <c r="G185">
        <v>85</v>
      </c>
      <c r="H185">
        <v>35</v>
      </c>
      <c r="I185">
        <v>3</v>
      </c>
      <c r="J185">
        <v>43</v>
      </c>
      <c r="K185">
        <v>78</v>
      </c>
      <c r="L185">
        <v>16.5</v>
      </c>
      <c r="M185" t="s">
        <v>14</v>
      </c>
      <c r="N185">
        <v>25</v>
      </c>
      <c r="O185" t="s">
        <v>21</v>
      </c>
      <c r="P185">
        <v>7</v>
      </c>
      <c r="Q185" t="s">
        <v>16</v>
      </c>
      <c r="R185">
        <v>6</v>
      </c>
      <c r="S185">
        <f>YEAR(Table1[[#This Row],[Visitor Date]])</f>
        <v>2022</v>
      </c>
      <c r="T185" t="str">
        <f>TEXT(Table1[[#This Row],[Visitor Date]],"MMM")</f>
        <v>Jul</v>
      </c>
    </row>
    <row r="186" spans="1:20" x14ac:dyDescent="0.35">
      <c r="A186" t="s">
        <v>31</v>
      </c>
      <c r="B186">
        <v>26</v>
      </c>
      <c r="C186" t="s">
        <v>25</v>
      </c>
      <c r="D186">
        <v>35</v>
      </c>
      <c r="E186" s="1">
        <v>44754</v>
      </c>
      <c r="F186">
        <v>10</v>
      </c>
      <c r="G186">
        <v>5.5</v>
      </c>
      <c r="H186">
        <v>76</v>
      </c>
      <c r="I186">
        <v>3.5</v>
      </c>
      <c r="J186">
        <v>48</v>
      </c>
      <c r="K186">
        <v>33</v>
      </c>
      <c r="L186">
        <v>6.5</v>
      </c>
      <c r="M186" t="s">
        <v>20</v>
      </c>
      <c r="N186">
        <v>22</v>
      </c>
      <c r="O186" t="s">
        <v>21</v>
      </c>
      <c r="P186">
        <v>15</v>
      </c>
      <c r="Q186" t="s">
        <v>29</v>
      </c>
      <c r="R186">
        <v>12</v>
      </c>
      <c r="S186">
        <f>YEAR(Table1[[#This Row],[Visitor Date]])</f>
        <v>2022</v>
      </c>
      <c r="T186" t="str">
        <f>TEXT(Table1[[#This Row],[Visitor Date]],"MMM")</f>
        <v>Jul</v>
      </c>
    </row>
    <row r="187" spans="1:20" x14ac:dyDescent="0.35">
      <c r="A187" t="s">
        <v>31</v>
      </c>
      <c r="B187">
        <v>26</v>
      </c>
      <c r="C187" t="s">
        <v>18</v>
      </c>
      <c r="D187">
        <v>32</v>
      </c>
      <c r="E187" s="1">
        <v>44755</v>
      </c>
      <c r="F187">
        <v>12</v>
      </c>
      <c r="G187">
        <v>6</v>
      </c>
      <c r="H187">
        <v>75</v>
      </c>
      <c r="I187">
        <v>3.1</v>
      </c>
      <c r="J187">
        <v>45</v>
      </c>
      <c r="K187">
        <v>28</v>
      </c>
      <c r="L187">
        <v>6</v>
      </c>
      <c r="M187" t="s">
        <v>20</v>
      </c>
      <c r="N187">
        <v>21</v>
      </c>
      <c r="O187" t="s">
        <v>21</v>
      </c>
      <c r="P187">
        <v>14</v>
      </c>
      <c r="Q187" t="s">
        <v>29</v>
      </c>
      <c r="R187">
        <v>11</v>
      </c>
      <c r="S187">
        <f>YEAR(Table1[[#This Row],[Visitor Date]])</f>
        <v>2022</v>
      </c>
      <c r="T187" t="str">
        <f>TEXT(Table1[[#This Row],[Visitor Date]],"MMM")</f>
        <v>Jul</v>
      </c>
    </row>
    <row r="188" spans="1:20" x14ac:dyDescent="0.35">
      <c r="A188" t="s">
        <v>31</v>
      </c>
      <c r="B188">
        <v>26</v>
      </c>
      <c r="C188" t="s">
        <v>12</v>
      </c>
      <c r="D188">
        <v>120</v>
      </c>
      <c r="E188" s="1">
        <v>44756</v>
      </c>
      <c r="F188">
        <v>8</v>
      </c>
      <c r="G188">
        <v>6.5</v>
      </c>
      <c r="H188">
        <v>70</v>
      </c>
      <c r="I188">
        <v>3</v>
      </c>
      <c r="J188">
        <v>42</v>
      </c>
      <c r="K188">
        <v>69</v>
      </c>
      <c r="L188">
        <v>5.5</v>
      </c>
      <c r="M188" t="s">
        <v>20</v>
      </c>
      <c r="N188">
        <v>20</v>
      </c>
      <c r="O188" t="s">
        <v>21</v>
      </c>
      <c r="P188">
        <v>12</v>
      </c>
      <c r="Q188" t="s">
        <v>29</v>
      </c>
      <c r="R188">
        <v>10</v>
      </c>
      <c r="S188">
        <f>YEAR(Table1[[#This Row],[Visitor Date]])</f>
        <v>2022</v>
      </c>
      <c r="T188" t="str">
        <f>TEXT(Table1[[#This Row],[Visitor Date]],"MMM")</f>
        <v>Jul</v>
      </c>
    </row>
    <row r="189" spans="1:20" x14ac:dyDescent="0.35">
      <c r="A189" t="s">
        <v>11</v>
      </c>
      <c r="B189">
        <v>68</v>
      </c>
      <c r="C189" t="s">
        <v>25</v>
      </c>
      <c r="D189">
        <v>66</v>
      </c>
      <c r="E189" s="1">
        <v>44757</v>
      </c>
      <c r="F189">
        <v>15</v>
      </c>
      <c r="G189">
        <v>91.5</v>
      </c>
      <c r="H189">
        <v>57</v>
      </c>
      <c r="I189">
        <v>3.7</v>
      </c>
      <c r="J189">
        <v>7</v>
      </c>
      <c r="K189">
        <v>38</v>
      </c>
      <c r="L189">
        <v>12</v>
      </c>
      <c r="M189" t="s">
        <v>27</v>
      </c>
      <c r="N189">
        <v>5.5</v>
      </c>
      <c r="O189" t="s">
        <v>34</v>
      </c>
      <c r="P189">
        <v>20</v>
      </c>
      <c r="Q189" t="s">
        <v>16</v>
      </c>
      <c r="R189">
        <v>18.5</v>
      </c>
      <c r="S189">
        <f>YEAR(Table1[[#This Row],[Visitor Date]])</f>
        <v>2022</v>
      </c>
      <c r="T189" t="str">
        <f>TEXT(Table1[[#This Row],[Visitor Date]],"MMM")</f>
        <v>Jul</v>
      </c>
    </row>
    <row r="190" spans="1:20" x14ac:dyDescent="0.35">
      <c r="A190" t="s">
        <v>11</v>
      </c>
      <c r="B190">
        <v>68</v>
      </c>
      <c r="C190" t="s">
        <v>18</v>
      </c>
      <c r="D190">
        <v>28</v>
      </c>
      <c r="E190" s="1">
        <v>44758</v>
      </c>
      <c r="F190">
        <v>12</v>
      </c>
      <c r="G190">
        <v>89</v>
      </c>
      <c r="H190">
        <v>53</v>
      </c>
      <c r="I190">
        <v>3.1</v>
      </c>
      <c r="J190">
        <v>66</v>
      </c>
      <c r="K190">
        <v>99</v>
      </c>
      <c r="L190">
        <v>11.5</v>
      </c>
      <c r="M190" t="s">
        <v>27</v>
      </c>
      <c r="N190">
        <v>4.5</v>
      </c>
      <c r="O190" t="s">
        <v>34</v>
      </c>
      <c r="P190">
        <v>18</v>
      </c>
      <c r="Q190" t="s">
        <v>16</v>
      </c>
      <c r="R190">
        <v>17</v>
      </c>
      <c r="S190">
        <f>YEAR(Table1[[#This Row],[Visitor Date]])</f>
        <v>2022</v>
      </c>
      <c r="T190" t="str">
        <f>TEXT(Table1[[#This Row],[Visitor Date]],"MMM")</f>
        <v>Jul</v>
      </c>
    </row>
    <row r="191" spans="1:20" x14ac:dyDescent="0.35">
      <c r="A191" t="s">
        <v>11</v>
      </c>
      <c r="B191">
        <v>68</v>
      </c>
      <c r="C191" t="s">
        <v>12</v>
      </c>
      <c r="D191">
        <v>55</v>
      </c>
      <c r="E191" s="1">
        <v>44759</v>
      </c>
      <c r="F191">
        <v>10</v>
      </c>
      <c r="G191">
        <v>88</v>
      </c>
      <c r="H191">
        <v>45</v>
      </c>
      <c r="I191">
        <v>2.9</v>
      </c>
      <c r="J191">
        <v>64</v>
      </c>
      <c r="K191">
        <v>55</v>
      </c>
      <c r="L191">
        <v>10</v>
      </c>
      <c r="M191" t="s">
        <v>27</v>
      </c>
      <c r="N191">
        <v>4</v>
      </c>
      <c r="O191" t="s">
        <v>34</v>
      </c>
      <c r="P191">
        <v>16.5</v>
      </c>
      <c r="Q191" t="s">
        <v>16</v>
      </c>
      <c r="R191">
        <v>15</v>
      </c>
      <c r="S191">
        <f>YEAR(Table1[[#This Row],[Visitor Date]])</f>
        <v>2022</v>
      </c>
      <c r="T191" t="str">
        <f>TEXT(Table1[[#This Row],[Visitor Date]],"MMM")</f>
        <v>Jul</v>
      </c>
    </row>
    <row r="192" spans="1:20" x14ac:dyDescent="0.35">
      <c r="A192" t="s">
        <v>36</v>
      </c>
      <c r="B192">
        <v>14</v>
      </c>
      <c r="C192" t="s">
        <v>25</v>
      </c>
      <c r="D192">
        <v>20</v>
      </c>
      <c r="E192" s="1">
        <v>44760</v>
      </c>
      <c r="F192">
        <v>18</v>
      </c>
      <c r="G192">
        <v>72</v>
      </c>
      <c r="H192">
        <v>42</v>
      </c>
      <c r="I192">
        <v>4</v>
      </c>
      <c r="J192">
        <v>60</v>
      </c>
      <c r="K192">
        <v>98</v>
      </c>
      <c r="L192">
        <v>14.5</v>
      </c>
      <c r="M192" t="s">
        <v>20</v>
      </c>
      <c r="N192">
        <v>21</v>
      </c>
      <c r="O192" t="s">
        <v>15</v>
      </c>
      <c r="P192">
        <v>16</v>
      </c>
      <c r="Q192" t="s">
        <v>16</v>
      </c>
      <c r="R192">
        <v>15.5</v>
      </c>
      <c r="S192">
        <f>YEAR(Table1[[#This Row],[Visitor Date]])</f>
        <v>2022</v>
      </c>
      <c r="T192" t="str">
        <f>TEXT(Table1[[#This Row],[Visitor Date]],"MMM")</f>
        <v>Jul</v>
      </c>
    </row>
    <row r="193" spans="1:20" x14ac:dyDescent="0.35">
      <c r="A193" t="s">
        <v>36</v>
      </c>
      <c r="B193">
        <v>14</v>
      </c>
      <c r="C193" t="s">
        <v>18</v>
      </c>
      <c r="D193">
        <v>16</v>
      </c>
      <c r="E193" s="1">
        <v>44761</v>
      </c>
      <c r="F193">
        <v>10</v>
      </c>
      <c r="G193">
        <v>67</v>
      </c>
      <c r="H193">
        <v>27</v>
      </c>
      <c r="I193">
        <v>3.5</v>
      </c>
      <c r="J193">
        <v>56</v>
      </c>
      <c r="K193">
        <v>62</v>
      </c>
      <c r="L193">
        <v>12.5</v>
      </c>
      <c r="M193" t="s">
        <v>20</v>
      </c>
      <c r="N193">
        <v>20.5</v>
      </c>
      <c r="O193" t="s">
        <v>15</v>
      </c>
      <c r="P193">
        <v>14</v>
      </c>
      <c r="Q193" t="s">
        <v>16</v>
      </c>
      <c r="R193">
        <v>13</v>
      </c>
      <c r="S193">
        <f>YEAR(Table1[[#This Row],[Visitor Date]])</f>
        <v>2022</v>
      </c>
      <c r="T193" t="str">
        <f>TEXT(Table1[[#This Row],[Visitor Date]],"MMM")</f>
        <v>Jul</v>
      </c>
    </row>
    <row r="194" spans="1:20" x14ac:dyDescent="0.35">
      <c r="A194" t="s">
        <v>36</v>
      </c>
      <c r="B194">
        <v>14</v>
      </c>
      <c r="C194" t="s">
        <v>12</v>
      </c>
      <c r="D194">
        <v>14</v>
      </c>
      <c r="E194" s="1">
        <v>44762</v>
      </c>
      <c r="F194">
        <v>9</v>
      </c>
      <c r="G194">
        <v>66</v>
      </c>
      <c r="H194">
        <v>25</v>
      </c>
      <c r="I194">
        <v>3.4</v>
      </c>
      <c r="J194">
        <v>54</v>
      </c>
      <c r="K194">
        <v>52</v>
      </c>
      <c r="L194">
        <v>12</v>
      </c>
      <c r="M194" t="s">
        <v>20</v>
      </c>
      <c r="N194">
        <v>19</v>
      </c>
      <c r="O194" t="s">
        <v>15</v>
      </c>
      <c r="P194">
        <v>13</v>
      </c>
      <c r="Q194" t="s">
        <v>16</v>
      </c>
      <c r="R194">
        <v>12</v>
      </c>
      <c r="S194">
        <f>YEAR(Table1[[#This Row],[Visitor Date]])</f>
        <v>2022</v>
      </c>
      <c r="T194" t="str">
        <f>TEXT(Table1[[#This Row],[Visitor Date]],"MMM")</f>
        <v>Jul</v>
      </c>
    </row>
    <row r="195" spans="1:20" x14ac:dyDescent="0.35">
      <c r="A195" t="s">
        <v>14</v>
      </c>
      <c r="B195">
        <v>44</v>
      </c>
      <c r="C195" t="s">
        <v>18</v>
      </c>
      <c r="D195">
        <v>35</v>
      </c>
      <c r="E195" s="1">
        <v>44763</v>
      </c>
      <c r="F195">
        <v>32</v>
      </c>
      <c r="G195">
        <v>85.3</v>
      </c>
      <c r="H195">
        <v>35</v>
      </c>
      <c r="I195">
        <v>2.5</v>
      </c>
      <c r="J195">
        <v>45</v>
      </c>
      <c r="K195">
        <v>29</v>
      </c>
      <c r="L195">
        <v>17.5</v>
      </c>
      <c r="M195" t="s">
        <v>14</v>
      </c>
      <c r="N195">
        <v>26</v>
      </c>
      <c r="O195" t="s">
        <v>21</v>
      </c>
      <c r="P195">
        <v>7.5</v>
      </c>
      <c r="Q195" t="s">
        <v>16</v>
      </c>
      <c r="R195">
        <v>6.3</v>
      </c>
      <c r="S195">
        <f>YEAR(Table1[[#This Row],[Visitor Date]])</f>
        <v>2022</v>
      </c>
      <c r="T195" t="str">
        <f>TEXT(Table1[[#This Row],[Visitor Date]],"MMM")</f>
        <v>Jul</v>
      </c>
    </row>
    <row r="196" spans="1:20" x14ac:dyDescent="0.35">
      <c r="A196" t="s">
        <v>31</v>
      </c>
      <c r="B196">
        <v>26</v>
      </c>
      <c r="C196" t="s">
        <v>12</v>
      </c>
      <c r="D196">
        <v>88</v>
      </c>
      <c r="E196" s="1">
        <v>44764</v>
      </c>
      <c r="F196">
        <v>8</v>
      </c>
      <c r="G196">
        <v>6.5</v>
      </c>
      <c r="H196">
        <v>70</v>
      </c>
      <c r="I196">
        <v>3</v>
      </c>
      <c r="J196">
        <v>42</v>
      </c>
      <c r="K196">
        <v>69</v>
      </c>
      <c r="L196">
        <v>5.5</v>
      </c>
      <c r="M196" t="s">
        <v>20</v>
      </c>
      <c r="N196">
        <v>20</v>
      </c>
      <c r="O196" t="s">
        <v>21</v>
      </c>
      <c r="P196">
        <v>12</v>
      </c>
      <c r="Q196" t="s">
        <v>29</v>
      </c>
      <c r="R196">
        <v>10</v>
      </c>
      <c r="S196">
        <f>YEAR(Table1[[#This Row],[Visitor Date]])</f>
        <v>2022</v>
      </c>
      <c r="T196" t="str">
        <f>TEXT(Table1[[#This Row],[Visitor Date]],"MMM")</f>
        <v>Jul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3215-05BB-4868-A46E-5A91EB9167BC}">
  <dimension ref="A3:AU74"/>
  <sheetViews>
    <sheetView workbookViewId="0">
      <selection activeCell="D16" sqref="D16"/>
    </sheetView>
  </sheetViews>
  <sheetFormatPr defaultRowHeight="14.5" x14ac:dyDescent="0.35"/>
  <cols>
    <col min="1" max="1" width="17.81640625" bestFit="1" customWidth="1"/>
    <col min="6" max="6" width="12.453125" bestFit="1" customWidth="1"/>
    <col min="7" max="7" width="20.90625" bestFit="1" customWidth="1"/>
    <col min="8" max="8" width="8.54296875" customWidth="1"/>
    <col min="9" max="9" width="10.54296875" customWidth="1"/>
    <col min="10" max="11" width="2.81640625" bestFit="1" customWidth="1"/>
    <col min="12" max="12" width="12.453125" bestFit="1" customWidth="1"/>
    <col min="13" max="13" width="8.54296875" customWidth="1"/>
    <col min="14" max="14" width="9.1796875" customWidth="1"/>
    <col min="15" max="18" width="2.81640625" bestFit="1" customWidth="1"/>
    <col min="19" max="19" width="12.453125" bestFit="1" customWidth="1"/>
    <col min="20" max="21" width="8.81640625" customWidth="1"/>
    <col min="22" max="22" width="19" bestFit="1" customWidth="1"/>
    <col min="23" max="23" width="8.81640625" customWidth="1"/>
    <col min="24" max="24" width="8.54296875" customWidth="1"/>
    <col min="25" max="25" width="17.26953125" bestFit="1" customWidth="1"/>
    <col min="26" max="26" width="9" customWidth="1"/>
    <col min="27" max="27" width="8.54296875" customWidth="1"/>
    <col min="28" max="28" width="10.1796875" customWidth="1"/>
    <col min="29" max="29" width="5.81640625" customWidth="1"/>
    <col min="30" max="30" width="10.1796875" customWidth="1"/>
    <col min="31" max="31" width="6.81640625" customWidth="1"/>
    <col min="32" max="32" width="15" customWidth="1"/>
    <col min="33" max="33" width="8.453125" customWidth="1"/>
    <col min="34" max="34" width="12.453125" bestFit="1" customWidth="1"/>
    <col min="35" max="35" width="10.1796875" customWidth="1"/>
    <col min="36" max="36" width="7.26953125" customWidth="1"/>
    <col min="37" max="37" width="10.453125" customWidth="1"/>
    <col min="38" max="38" width="12.453125" bestFit="1" customWidth="1"/>
    <col min="39" max="39" width="9.81640625" customWidth="1"/>
    <col min="40" max="40" width="10.453125" bestFit="1" customWidth="1"/>
    <col min="41" max="41" width="9" customWidth="1"/>
    <col min="42" max="42" width="10.81640625" customWidth="1"/>
    <col min="43" max="44" width="3.81640625" bestFit="1" customWidth="1"/>
    <col min="45" max="45" width="2.81640625" bestFit="1" customWidth="1"/>
    <col min="46" max="46" width="10.1796875" bestFit="1" customWidth="1"/>
    <col min="47" max="47" width="17.453125" bestFit="1" customWidth="1"/>
    <col min="48" max="50" width="3.81640625" bestFit="1" customWidth="1"/>
    <col min="51" max="51" width="2.81640625" bestFit="1" customWidth="1"/>
    <col min="52" max="53" width="3.81640625" bestFit="1" customWidth="1"/>
    <col min="54" max="56" width="2.81640625" bestFit="1" customWidth="1"/>
    <col min="57" max="57" width="3.81640625" bestFit="1" customWidth="1"/>
    <col min="58" max="58" width="2.81640625" bestFit="1" customWidth="1"/>
    <col min="59" max="59" width="3.81640625" bestFit="1" customWidth="1"/>
    <col min="60" max="61" width="2.81640625" bestFit="1" customWidth="1"/>
    <col min="62" max="91" width="3.81640625" bestFit="1" customWidth="1"/>
    <col min="92" max="92" width="6.81640625" bestFit="1" customWidth="1"/>
    <col min="93" max="93" width="10.453125" bestFit="1" customWidth="1"/>
  </cols>
  <sheetData>
    <row r="3" spans="1:47" x14ac:dyDescent="0.35">
      <c r="A3" s="14" t="s">
        <v>0</v>
      </c>
      <c r="B3" s="14" t="s">
        <v>1</v>
      </c>
      <c r="F3" s="7" t="s">
        <v>2</v>
      </c>
      <c r="G3" s="7" t="s">
        <v>3</v>
      </c>
      <c r="H3" s="7" t="s">
        <v>4</v>
      </c>
      <c r="L3" s="7" t="s">
        <v>2</v>
      </c>
      <c r="M3" s="7" t="s">
        <v>3</v>
      </c>
      <c r="N3" s="7" t="s">
        <v>4</v>
      </c>
      <c r="T3" s="7" t="s">
        <v>2</v>
      </c>
      <c r="U3" s="7" t="s">
        <v>3</v>
      </c>
      <c r="V3" s="7" t="s">
        <v>4</v>
      </c>
      <c r="X3" s="7" t="s">
        <v>2</v>
      </c>
      <c r="Y3" s="7" t="s">
        <v>3</v>
      </c>
      <c r="AA3" s="7" t="s">
        <v>2</v>
      </c>
      <c r="AB3" s="7" t="s">
        <v>5</v>
      </c>
      <c r="AE3" s="7" t="s">
        <v>2</v>
      </c>
      <c r="AF3" s="7" t="s">
        <v>6</v>
      </c>
      <c r="AG3" s="13" t="s">
        <v>7</v>
      </c>
      <c r="AI3" s="7" t="s">
        <v>2</v>
      </c>
      <c r="AJ3" s="7" t="s">
        <v>8</v>
      </c>
      <c r="AK3" s="13" t="s">
        <v>9</v>
      </c>
      <c r="AN3" s="7" t="s">
        <v>2</v>
      </c>
      <c r="AO3" s="7" t="s">
        <v>8</v>
      </c>
      <c r="AP3" s="13" t="s">
        <v>9</v>
      </c>
      <c r="AT3" s="7" t="s">
        <v>2</v>
      </c>
      <c r="AU3" s="7" t="s">
        <v>3</v>
      </c>
    </row>
    <row r="4" spans="1:47" x14ac:dyDescent="0.35">
      <c r="A4" s="15" t="s">
        <v>10</v>
      </c>
      <c r="B4" s="15">
        <f>GETPIVOTDATA("Sum of Visitor Count",$F$20)</f>
        <v>11877</v>
      </c>
      <c r="F4" s="4" t="s">
        <v>11</v>
      </c>
      <c r="G4">
        <f t="shared" ref="G4:G9" si="0">GETPIVOTDATA("Sum of Visitor Count",$F$20,"Traffic Source Type",F4)</f>
        <v>2677</v>
      </c>
      <c r="H4" s="5">
        <f t="shared" ref="H4:H9" si="1">GETPIVOTDATA("Sum of Visitor Count2",$F$20,"Traffic Source Type",F4)</f>
        <v>0.2253936179169824</v>
      </c>
      <c r="L4" s="4" t="s">
        <v>11</v>
      </c>
      <c r="M4">
        <f t="shared" ref="M4:M9" si="2">GETPIVOTDATA("Sum of Visitor Count",$F$20,"Traffic Source Type",L4)</f>
        <v>2677</v>
      </c>
      <c r="N4" s="5">
        <f t="shared" ref="N4:N9" si="3">GETPIVOTDATA("Sum of Visitor Count2",$F$20,"Traffic Source Type",L4)</f>
        <v>0.2253936179169824</v>
      </c>
      <c r="T4" s="4" t="s">
        <v>12</v>
      </c>
      <c r="U4">
        <f>GETPIVOTDATA("Sum of Visitor Count",$L$20,"Visitor Type",T4)</f>
        <v>924</v>
      </c>
      <c r="V4" s="5">
        <f>GETPIVOTDATA("Sum of Visitor Count2",$L$20,"Visitor Type",T4)</f>
        <v>7.7797423591816114E-2</v>
      </c>
      <c r="X4" s="4" t="s">
        <v>13</v>
      </c>
      <c r="Y4">
        <f>GETPIVOTDATA("Visitor Count",$S$20,"Month",X4)</f>
        <v>1245</v>
      </c>
      <c r="AA4" s="4" t="s">
        <v>13</v>
      </c>
      <c r="AB4" s="6">
        <f>GETPIVOTDATA("Bounce Rate %",$W$20,"Month",AA4)</f>
        <v>1421.1200000000001</v>
      </c>
      <c r="AE4" s="4" t="s">
        <v>14</v>
      </c>
      <c r="AF4" s="6">
        <f>GETPIVOTDATA("Goal Conversion Rate %",$AA$20,"Channel",AE4)</f>
        <v>16.165624999999999</v>
      </c>
      <c r="AG4" s="12">
        <f>AF4/$AF$7</f>
        <v>0.41199748263061975</v>
      </c>
      <c r="AI4" s="4" t="s">
        <v>15</v>
      </c>
      <c r="AJ4" s="6">
        <f>GETPIVOTDATA("Conversion % (Channel)",$AD$20,"Campaign Name",AI4)</f>
        <v>21.524999999999999</v>
      </c>
      <c r="AK4" s="12">
        <f>AJ4/$AJ$8</f>
        <v>0.34389378987554448</v>
      </c>
      <c r="AN4" s="4" t="s">
        <v>16</v>
      </c>
      <c r="AO4" s="6">
        <f>GETPIVOTDATA("Conversion % (Channel)",$AH$20,"Page Name",AN4)</f>
        <v>18.177551020408163</v>
      </c>
      <c r="AP4" s="12">
        <f>AO4/$AO$7</f>
        <v>0.36346391214474638</v>
      </c>
      <c r="AT4" s="4" t="s">
        <v>11</v>
      </c>
      <c r="AU4" s="6">
        <f t="shared" ref="AU4:AU9" si="4">GETPIVOTDATA("Visitor Count",$AL$20,"Traffic Source Type",AT4)</f>
        <v>2677</v>
      </c>
    </row>
    <row r="5" spans="1:47" x14ac:dyDescent="0.35">
      <c r="A5" s="15" t="s">
        <v>17</v>
      </c>
      <c r="B5" s="16">
        <f>GETPIVOTDATA("Avg. Session Duration (sec)",$F$32)/60</f>
        <v>0.86418803418803414</v>
      </c>
      <c r="F5" s="4" t="s">
        <v>14</v>
      </c>
      <c r="G5">
        <f t="shared" si="0"/>
        <v>2402</v>
      </c>
      <c r="H5" s="5">
        <f t="shared" si="1"/>
        <v>0.20223962280037047</v>
      </c>
      <c r="L5" s="4" t="s">
        <v>14</v>
      </c>
      <c r="M5">
        <f t="shared" si="2"/>
        <v>2402</v>
      </c>
      <c r="N5" s="5">
        <f t="shared" si="3"/>
        <v>0.20223962280037047</v>
      </c>
      <c r="T5" s="4" t="s">
        <v>18</v>
      </c>
      <c r="U5">
        <f>GETPIVOTDATA("Sum of Visitor Count",$L$20,"Visitor Type",T5)</f>
        <v>6001</v>
      </c>
      <c r="V5" s="5">
        <f>GETPIVOTDATA("Sum of Visitor Count2",$L$20,"Visitor Type",T5)</f>
        <v>0.50526227161741177</v>
      </c>
      <c r="X5" s="4" t="s">
        <v>19</v>
      </c>
      <c r="Y5">
        <f t="shared" ref="Y5:Y10" si="5">GETPIVOTDATA("Visitor Count",$S$20,"Month",X5)</f>
        <v>2781</v>
      </c>
      <c r="AA5" s="4" t="s">
        <v>19</v>
      </c>
      <c r="AB5" s="6">
        <f t="shared" ref="AB5:AB10" si="6">GETPIVOTDATA("Bounce Rate %",$W$20,"Month",AA5)</f>
        <v>1744.17</v>
      </c>
      <c r="AE5" s="4" t="s">
        <v>20</v>
      </c>
      <c r="AF5" s="6">
        <f>GETPIVOTDATA("Goal Conversion Rate %",$AA$20,"Channel",AE5)</f>
        <v>9.5382352941176496</v>
      </c>
      <c r="AG5" s="12">
        <f>AF5/$AF$7</f>
        <v>0.24309167940707527</v>
      </c>
      <c r="AI5" s="4" t="s">
        <v>21</v>
      </c>
      <c r="AJ5" s="6">
        <f>GETPIVOTDATA("Conversion % (Channel)",$AD$20,"Campaign Name",AI5)</f>
        <v>18.14433962264151</v>
      </c>
      <c r="AK5" s="12">
        <f>AJ5/$AJ$8</f>
        <v>0.289882727880102</v>
      </c>
      <c r="AN5" s="4" t="s">
        <v>22</v>
      </c>
      <c r="AO5" s="6">
        <f>GETPIVOTDATA("Conversion % (Channel)",$AH$20,"Page Name",AN5)</f>
        <v>17.624137931034483</v>
      </c>
      <c r="AP5" s="12">
        <f>AO5/$AO$7</f>
        <v>0.35239830235660502</v>
      </c>
      <c r="AT5" s="4" t="s">
        <v>14</v>
      </c>
      <c r="AU5" s="6">
        <f t="shared" si="4"/>
        <v>2402</v>
      </c>
    </row>
    <row r="6" spans="1:47" x14ac:dyDescent="0.35">
      <c r="A6" s="15" t="s">
        <v>23</v>
      </c>
      <c r="B6" s="15">
        <f>GETPIVOTDATA("Pages Per Visit",$F$44)</f>
        <v>3.4799999999999964</v>
      </c>
      <c r="F6" s="4" t="s">
        <v>24</v>
      </c>
      <c r="G6">
        <f t="shared" si="0"/>
        <v>1424</v>
      </c>
      <c r="H6" s="5">
        <f t="shared" si="1"/>
        <v>0.11989559653111055</v>
      </c>
      <c r="L6" s="4" t="s">
        <v>24</v>
      </c>
      <c r="M6">
        <f t="shared" si="2"/>
        <v>1424</v>
      </c>
      <c r="N6" s="5">
        <f t="shared" si="3"/>
        <v>0.11989559653111055</v>
      </c>
      <c r="T6" s="4" t="s">
        <v>25</v>
      </c>
      <c r="U6">
        <f>GETPIVOTDATA("Sum of Visitor Count",$L$20,"Visitor Type",T6)</f>
        <v>4952</v>
      </c>
      <c r="V6" s="5">
        <f>GETPIVOTDATA("Sum of Visitor Count2",$L$20,"Visitor Type",T6)</f>
        <v>0.4169403047907721</v>
      </c>
      <c r="X6" s="4" t="s">
        <v>26</v>
      </c>
      <c r="Y6">
        <f t="shared" si="5"/>
        <v>2041</v>
      </c>
      <c r="AA6" s="4" t="s">
        <v>26</v>
      </c>
      <c r="AB6" s="6">
        <f t="shared" si="6"/>
        <v>1893.79</v>
      </c>
      <c r="AE6" s="4" t="s">
        <v>27</v>
      </c>
      <c r="AF6" s="6">
        <f>GETPIVOTDATA("Goal Conversion Rate %",$AA$20,"Channel",AE6)</f>
        <v>13.533333333333333</v>
      </c>
      <c r="AG6" s="12">
        <f>AF6/$AF$7</f>
        <v>0.34491083796230509</v>
      </c>
      <c r="AI6" s="4" t="s">
        <v>28</v>
      </c>
      <c r="AJ6" s="6">
        <f>GETPIVOTDATA("Conversion % (Channel)",$AD$20,"Campaign Name",AI6)</f>
        <v>18.057142857142857</v>
      </c>
      <c r="AK6" s="12">
        <f>AJ6/$AJ$8</f>
        <v>0.28848963026559699</v>
      </c>
      <c r="AN6" s="4" t="s">
        <v>29</v>
      </c>
      <c r="AO6" s="6">
        <f>GETPIVOTDATA("Conversion % (Channel)",$AH$20,"Page Name",AN6)</f>
        <v>14.210294117647059</v>
      </c>
      <c r="AP6" s="12">
        <f>AO6/$AO$7</f>
        <v>0.28413778549864871</v>
      </c>
      <c r="AT6" s="4" t="s">
        <v>24</v>
      </c>
      <c r="AU6" s="6">
        <f t="shared" si="4"/>
        <v>1424</v>
      </c>
    </row>
    <row r="7" spans="1:47" x14ac:dyDescent="0.35">
      <c r="A7" s="15" t="s">
        <v>30</v>
      </c>
      <c r="B7" s="17">
        <f>GETPIVOTDATA("Bounce Rate %",$W$20)/GETPIVOTDATA("Visitor Count",$S$20)</f>
        <v>0.99134714153405723</v>
      </c>
      <c r="F7" s="4" t="s">
        <v>31</v>
      </c>
      <c r="G7">
        <f t="shared" si="0"/>
        <v>1849</v>
      </c>
      <c r="H7" s="5">
        <f t="shared" si="1"/>
        <v>0.15567904352951081</v>
      </c>
      <c r="L7" s="4" t="s">
        <v>31</v>
      </c>
      <c r="M7">
        <f t="shared" si="2"/>
        <v>1849</v>
      </c>
      <c r="N7" s="5">
        <f t="shared" si="3"/>
        <v>0.15567904352951081</v>
      </c>
      <c r="T7" s="9" t="s">
        <v>32</v>
      </c>
      <c r="U7" s="8">
        <f>SUM(U4:U6)</f>
        <v>11877</v>
      </c>
      <c r="V7" s="10">
        <f>SUM(V4:V6)</f>
        <v>1</v>
      </c>
      <c r="X7" s="4" t="s">
        <v>33</v>
      </c>
      <c r="Y7">
        <f t="shared" si="5"/>
        <v>1604</v>
      </c>
      <c r="AA7" s="4" t="s">
        <v>33</v>
      </c>
      <c r="AB7" s="6">
        <f t="shared" si="6"/>
        <v>1709.53</v>
      </c>
      <c r="AE7" s="9" t="s">
        <v>32</v>
      </c>
      <c r="AF7" s="11">
        <f>SUM(AF4:AF6)</f>
        <v>39.237193627450978</v>
      </c>
      <c r="AG7" s="12">
        <f>AF7/$AF$7</f>
        <v>1</v>
      </c>
      <c r="AI7" s="4" t="s">
        <v>34</v>
      </c>
      <c r="AJ7" s="6">
        <f>GETPIVOTDATA("Conversion % (Channel)",$AD$20,"Campaign Name",AI7)</f>
        <v>4.8655172413793091</v>
      </c>
      <c r="AK7" s="12">
        <f>AJ7/$AJ$8</f>
        <v>7.7733851978756568E-2</v>
      </c>
      <c r="AN7" s="9" t="s">
        <v>32</v>
      </c>
      <c r="AO7" s="11">
        <f>SUM(AO4:AO6)</f>
        <v>50.011983069089702</v>
      </c>
      <c r="AP7" s="12">
        <f>AO7/$AO$7</f>
        <v>1</v>
      </c>
      <c r="AT7" s="4" t="s">
        <v>31</v>
      </c>
      <c r="AU7" s="6">
        <f t="shared" si="4"/>
        <v>1849</v>
      </c>
    </row>
    <row r="8" spans="1:47" x14ac:dyDescent="0.35">
      <c r="A8" s="15" t="s">
        <v>35</v>
      </c>
      <c r="B8" s="15">
        <f>GETPIVOTDATA("Total Page Views",$F$55)</f>
        <v>10548</v>
      </c>
      <c r="F8" s="4" t="s">
        <v>36</v>
      </c>
      <c r="G8">
        <f t="shared" si="0"/>
        <v>1370</v>
      </c>
      <c r="H8" s="5">
        <f t="shared" si="1"/>
        <v>0.11534899385366675</v>
      </c>
      <c r="L8" s="4" t="s">
        <v>36</v>
      </c>
      <c r="M8">
        <f t="shared" si="2"/>
        <v>1370</v>
      </c>
      <c r="N8" s="5">
        <f t="shared" si="3"/>
        <v>0.11534899385366675</v>
      </c>
      <c r="X8" s="4" t="s">
        <v>37</v>
      </c>
      <c r="Y8">
        <f t="shared" si="5"/>
        <v>936</v>
      </c>
      <c r="AA8" s="4" t="s">
        <v>37</v>
      </c>
      <c r="AB8" s="6">
        <f t="shared" si="6"/>
        <v>2032.67</v>
      </c>
      <c r="AI8" s="9" t="s">
        <v>32</v>
      </c>
      <c r="AJ8" s="11">
        <f>SUM(AJ4:AJ7)</f>
        <v>62.591999721163674</v>
      </c>
      <c r="AK8" s="12">
        <f>AJ8/$AJ$8</f>
        <v>1</v>
      </c>
      <c r="AT8" s="4" t="s">
        <v>36</v>
      </c>
      <c r="AU8" s="6">
        <f t="shared" si="4"/>
        <v>1370</v>
      </c>
    </row>
    <row r="9" spans="1:47" x14ac:dyDescent="0.35">
      <c r="A9" s="15" t="s">
        <v>38</v>
      </c>
      <c r="B9" s="17">
        <f>GETPIVOTDATA("Goal Conversion Rate %",$F$67)/B4</f>
        <v>0.21350509387892566</v>
      </c>
      <c r="F9" s="4" t="s">
        <v>39</v>
      </c>
      <c r="G9">
        <f t="shared" si="0"/>
        <v>2155</v>
      </c>
      <c r="H9" s="5">
        <f t="shared" si="1"/>
        <v>0.18144312536835902</v>
      </c>
      <c r="L9" s="4" t="s">
        <v>39</v>
      </c>
      <c r="M9">
        <f t="shared" si="2"/>
        <v>2155</v>
      </c>
      <c r="N9" s="5">
        <f t="shared" si="3"/>
        <v>0.18144312536835902</v>
      </c>
      <c r="X9" s="4" t="s">
        <v>40</v>
      </c>
      <c r="Y9">
        <f t="shared" si="5"/>
        <v>2099</v>
      </c>
      <c r="AA9" s="4" t="s">
        <v>40</v>
      </c>
      <c r="AB9" s="6">
        <f t="shared" si="6"/>
        <v>1764.65</v>
      </c>
      <c r="AT9" s="4" t="s">
        <v>39</v>
      </c>
      <c r="AU9" s="6">
        <f t="shared" si="4"/>
        <v>2155</v>
      </c>
    </row>
    <row r="10" spans="1:47" x14ac:dyDescent="0.35">
      <c r="F10" s="9" t="s">
        <v>32</v>
      </c>
      <c r="G10" s="8">
        <f>SUM(G4:G9)</f>
        <v>11877</v>
      </c>
      <c r="H10" s="5">
        <f>SUM(H4:H9)</f>
        <v>1</v>
      </c>
      <c r="L10" s="9" t="s">
        <v>32</v>
      </c>
      <c r="M10" s="8">
        <f>SUM(M4:M9)</f>
        <v>11877</v>
      </c>
      <c r="N10" s="10">
        <f>SUM(N4:N9)</f>
        <v>1</v>
      </c>
      <c r="X10" s="4" t="s">
        <v>41</v>
      </c>
      <c r="Y10">
        <f t="shared" si="5"/>
        <v>1171</v>
      </c>
      <c r="AA10" s="4" t="s">
        <v>41</v>
      </c>
      <c r="AB10" s="6">
        <f t="shared" si="6"/>
        <v>1208.3</v>
      </c>
      <c r="AT10" s="9" t="s">
        <v>32</v>
      </c>
      <c r="AU10" s="11">
        <f>SUM(AU4:AU9)</f>
        <v>11877</v>
      </c>
    </row>
    <row r="11" spans="1:47" x14ac:dyDescent="0.35">
      <c r="X11" s="9" t="s">
        <v>32</v>
      </c>
      <c r="Y11" s="8">
        <f>SUM(Y4:Y10)</f>
        <v>11877</v>
      </c>
      <c r="AA11" s="9" t="s">
        <v>32</v>
      </c>
      <c r="AB11" s="11">
        <f>SUM(AB4:AB10)</f>
        <v>11774.229999999998</v>
      </c>
      <c r="AK11" s="12"/>
    </row>
    <row r="20" spans="6:39" x14ac:dyDescent="0.35">
      <c r="F20" s="3" t="s">
        <v>2</v>
      </c>
      <c r="G20" t="s">
        <v>3</v>
      </c>
      <c r="H20" t="s">
        <v>4</v>
      </c>
      <c r="L20" s="3" t="s">
        <v>2</v>
      </c>
      <c r="M20" t="s">
        <v>3</v>
      </c>
      <c r="N20" t="s">
        <v>4</v>
      </c>
      <c r="S20" s="3" t="s">
        <v>2</v>
      </c>
      <c r="T20" t="s">
        <v>3</v>
      </c>
      <c r="W20" s="3" t="s">
        <v>2</v>
      </c>
      <c r="X20" t="s">
        <v>5</v>
      </c>
      <c r="AA20" s="3" t="s">
        <v>2</v>
      </c>
      <c r="AB20" t="s">
        <v>6</v>
      </c>
      <c r="AD20" s="3" t="s">
        <v>2</v>
      </c>
      <c r="AE20" t="s">
        <v>8</v>
      </c>
      <c r="AH20" s="3" t="s">
        <v>2</v>
      </c>
      <c r="AI20" t="s">
        <v>8</v>
      </c>
      <c r="AL20" s="3" t="s">
        <v>2</v>
      </c>
      <c r="AM20" t="s">
        <v>3</v>
      </c>
    </row>
    <row r="21" spans="6:39" x14ac:dyDescent="0.35">
      <c r="F21" s="4" t="s">
        <v>11</v>
      </c>
      <c r="G21" s="20">
        <v>2677</v>
      </c>
      <c r="H21" s="5">
        <v>0.2253936179169824</v>
      </c>
      <c r="L21" s="4" t="s">
        <v>12</v>
      </c>
      <c r="M21" s="20">
        <v>924</v>
      </c>
      <c r="N21" s="5">
        <v>7.7797423591816114E-2</v>
      </c>
      <c r="S21" s="4" t="s">
        <v>13</v>
      </c>
      <c r="T21" s="20">
        <v>1245</v>
      </c>
      <c r="W21" s="4" t="s">
        <v>13</v>
      </c>
      <c r="X21" s="6">
        <v>1421.1200000000001</v>
      </c>
      <c r="AA21" s="4" t="s">
        <v>14</v>
      </c>
      <c r="AB21" s="6">
        <v>16.165624999999999</v>
      </c>
      <c r="AD21" s="4" t="s">
        <v>15</v>
      </c>
      <c r="AE21" s="6">
        <v>21.524999999999999</v>
      </c>
      <c r="AH21" s="4" t="s">
        <v>16</v>
      </c>
      <c r="AI21" s="6">
        <v>18.177551020408163</v>
      </c>
      <c r="AL21" s="4" t="s">
        <v>11</v>
      </c>
      <c r="AM21" s="6">
        <v>2677</v>
      </c>
    </row>
    <row r="22" spans="6:39" x14ac:dyDescent="0.35">
      <c r="F22" s="4" t="s">
        <v>14</v>
      </c>
      <c r="G22" s="20">
        <v>2402</v>
      </c>
      <c r="H22" s="5">
        <v>0.20223962280037047</v>
      </c>
      <c r="L22" s="4" t="s">
        <v>18</v>
      </c>
      <c r="M22" s="20">
        <v>6001</v>
      </c>
      <c r="N22" s="5">
        <v>0.50526227161741177</v>
      </c>
      <c r="S22" s="4" t="s">
        <v>19</v>
      </c>
      <c r="T22" s="20">
        <v>2781</v>
      </c>
      <c r="W22" s="4" t="s">
        <v>19</v>
      </c>
      <c r="X22" s="6">
        <v>1744.17</v>
      </c>
      <c r="AA22" s="4" t="s">
        <v>20</v>
      </c>
      <c r="AB22" s="6">
        <v>9.5382352941176496</v>
      </c>
      <c r="AD22" s="4" t="s">
        <v>21</v>
      </c>
      <c r="AE22" s="6">
        <v>18.14433962264151</v>
      </c>
      <c r="AH22" s="4" t="s">
        <v>22</v>
      </c>
      <c r="AI22" s="6">
        <v>17.624137931034483</v>
      </c>
      <c r="AL22" s="4" t="s">
        <v>14</v>
      </c>
      <c r="AM22" s="6">
        <v>2402</v>
      </c>
    </row>
    <row r="23" spans="6:39" x14ac:dyDescent="0.35">
      <c r="F23" s="4" t="s">
        <v>24</v>
      </c>
      <c r="G23" s="20">
        <v>1424</v>
      </c>
      <c r="H23" s="5">
        <v>0.11989559653111055</v>
      </c>
      <c r="L23" s="4" t="s">
        <v>25</v>
      </c>
      <c r="M23" s="20">
        <v>4952</v>
      </c>
      <c r="N23" s="5">
        <v>0.4169403047907721</v>
      </c>
      <c r="S23" s="4" t="s">
        <v>26</v>
      </c>
      <c r="T23" s="20">
        <v>2041</v>
      </c>
      <c r="W23" s="4" t="s">
        <v>26</v>
      </c>
      <c r="X23" s="6">
        <v>1893.79</v>
      </c>
      <c r="AA23" s="4" t="s">
        <v>27</v>
      </c>
      <c r="AB23" s="6">
        <v>13.533333333333333</v>
      </c>
      <c r="AD23" s="4" t="s">
        <v>28</v>
      </c>
      <c r="AE23" s="6">
        <v>18.057142857142857</v>
      </c>
      <c r="AH23" s="4" t="s">
        <v>29</v>
      </c>
      <c r="AI23" s="6">
        <v>14.210294117647059</v>
      </c>
      <c r="AL23" s="4" t="s">
        <v>24</v>
      </c>
      <c r="AM23" s="6">
        <v>1424</v>
      </c>
    </row>
    <row r="24" spans="6:39" x14ac:dyDescent="0.35">
      <c r="F24" s="4" t="s">
        <v>31</v>
      </c>
      <c r="G24" s="20">
        <v>1849</v>
      </c>
      <c r="H24" s="5">
        <v>0.15567904352951081</v>
      </c>
      <c r="L24" s="4" t="s">
        <v>32</v>
      </c>
      <c r="M24" s="20">
        <v>11877</v>
      </c>
      <c r="N24" s="5">
        <v>1</v>
      </c>
      <c r="S24" s="4" t="s">
        <v>33</v>
      </c>
      <c r="T24" s="20">
        <v>1604</v>
      </c>
      <c r="W24" s="4" t="s">
        <v>33</v>
      </c>
      <c r="X24" s="6">
        <v>1709.53</v>
      </c>
      <c r="AA24" s="4" t="s">
        <v>32</v>
      </c>
      <c r="AB24" s="6">
        <v>13.004102564102556</v>
      </c>
      <c r="AD24" s="4" t="s">
        <v>34</v>
      </c>
      <c r="AE24" s="6">
        <v>4.8655172413793091</v>
      </c>
      <c r="AH24" s="4" t="s">
        <v>32</v>
      </c>
      <c r="AI24" s="6">
        <v>16.711794871794865</v>
      </c>
      <c r="AL24" s="4" t="s">
        <v>31</v>
      </c>
      <c r="AM24" s="6">
        <v>1849</v>
      </c>
    </row>
    <row r="25" spans="6:39" x14ac:dyDescent="0.35">
      <c r="F25" s="4" t="s">
        <v>36</v>
      </c>
      <c r="G25" s="20">
        <v>1370</v>
      </c>
      <c r="H25" s="5">
        <v>0.11534899385366675</v>
      </c>
      <c r="S25" s="4" t="s">
        <v>37</v>
      </c>
      <c r="T25" s="20">
        <v>936</v>
      </c>
      <c r="W25" s="4" t="s">
        <v>37</v>
      </c>
      <c r="X25" s="6">
        <v>2032.67</v>
      </c>
      <c r="AD25" s="4" t="s">
        <v>32</v>
      </c>
      <c r="AE25" s="6">
        <v>16.711794871794876</v>
      </c>
      <c r="AL25" s="4" t="s">
        <v>36</v>
      </c>
      <c r="AM25" s="6">
        <v>1370</v>
      </c>
    </row>
    <row r="26" spans="6:39" x14ac:dyDescent="0.35">
      <c r="F26" s="4" t="s">
        <v>39</v>
      </c>
      <c r="G26" s="20">
        <v>2155</v>
      </c>
      <c r="H26" s="5">
        <v>0.18144312536835902</v>
      </c>
      <c r="S26" s="4" t="s">
        <v>40</v>
      </c>
      <c r="T26" s="20">
        <v>2099</v>
      </c>
      <c r="W26" s="4" t="s">
        <v>40</v>
      </c>
      <c r="X26" s="6">
        <v>1764.65</v>
      </c>
      <c r="AL26" s="4" t="s">
        <v>39</v>
      </c>
      <c r="AM26" s="6">
        <v>2155</v>
      </c>
    </row>
    <row r="27" spans="6:39" x14ac:dyDescent="0.35">
      <c r="F27" s="4" t="s">
        <v>32</v>
      </c>
      <c r="G27" s="20">
        <v>11877</v>
      </c>
      <c r="H27" s="5">
        <v>1</v>
      </c>
      <c r="S27" s="4" t="s">
        <v>41</v>
      </c>
      <c r="T27" s="20">
        <v>1171</v>
      </c>
      <c r="W27" s="4" t="s">
        <v>41</v>
      </c>
      <c r="X27" s="6">
        <v>1208.3</v>
      </c>
      <c r="AL27" s="4" t="s">
        <v>32</v>
      </c>
      <c r="AM27" s="6">
        <v>11877</v>
      </c>
    </row>
    <row r="28" spans="6:39" x14ac:dyDescent="0.35">
      <c r="S28" s="4" t="s">
        <v>32</v>
      </c>
      <c r="T28" s="20">
        <v>11877</v>
      </c>
      <c r="W28" s="4" t="s">
        <v>32</v>
      </c>
      <c r="X28" s="6">
        <v>11774.229999999998</v>
      </c>
    </row>
    <row r="32" spans="6:39" x14ac:dyDescent="0.35">
      <c r="F32" s="3" t="s">
        <v>2</v>
      </c>
      <c r="G32" t="s">
        <v>42</v>
      </c>
    </row>
    <row r="33" spans="6:7" x14ac:dyDescent="0.35">
      <c r="F33" s="4" t="s">
        <v>11</v>
      </c>
      <c r="G33" s="20">
        <v>51.793103448275865</v>
      </c>
    </row>
    <row r="34" spans="6:7" x14ac:dyDescent="0.35">
      <c r="F34" s="4" t="s">
        <v>14</v>
      </c>
      <c r="G34" s="20">
        <v>41.138888888888886</v>
      </c>
    </row>
    <row r="35" spans="6:7" x14ac:dyDescent="0.35">
      <c r="F35" s="4" t="s">
        <v>24</v>
      </c>
      <c r="G35" s="20">
        <v>31.642857142857142</v>
      </c>
    </row>
    <row r="36" spans="6:7" x14ac:dyDescent="0.35">
      <c r="F36" s="4" t="s">
        <v>31</v>
      </c>
      <c r="G36" s="20">
        <v>75.028571428571425</v>
      </c>
    </row>
    <row r="37" spans="6:7" x14ac:dyDescent="0.35">
      <c r="F37" s="4" t="s">
        <v>36</v>
      </c>
      <c r="G37" s="20">
        <v>32.5</v>
      </c>
    </row>
    <row r="38" spans="6:7" x14ac:dyDescent="0.35">
      <c r="F38" s="4" t="s">
        <v>39</v>
      </c>
      <c r="G38" s="20">
        <v>73.599999999999994</v>
      </c>
    </row>
    <row r="39" spans="6:7" x14ac:dyDescent="0.35">
      <c r="F39" s="4" t="s">
        <v>32</v>
      </c>
      <c r="G39" s="20">
        <v>51.851282051282048</v>
      </c>
    </row>
    <row r="44" spans="6:7" x14ac:dyDescent="0.35">
      <c r="F44" s="3" t="s">
        <v>2</v>
      </c>
      <c r="G44" t="s">
        <v>43</v>
      </c>
    </row>
    <row r="45" spans="6:7" x14ac:dyDescent="0.35">
      <c r="F45" s="4" t="s">
        <v>11</v>
      </c>
      <c r="G45" s="20">
        <v>3.2448275862068967</v>
      </c>
    </row>
    <row r="46" spans="6:7" x14ac:dyDescent="0.35">
      <c r="F46" s="4" t="s">
        <v>14</v>
      </c>
      <c r="G46" s="20">
        <v>2.8944444444444448</v>
      </c>
    </row>
    <row r="47" spans="6:7" x14ac:dyDescent="0.35">
      <c r="F47" s="4" t="s">
        <v>24</v>
      </c>
      <c r="G47" s="20">
        <v>3.9571428571428564</v>
      </c>
    </row>
    <row r="48" spans="6:7" x14ac:dyDescent="0.35">
      <c r="F48" s="4" t="s">
        <v>31</v>
      </c>
      <c r="G48" s="20">
        <v>3.1542857142857139</v>
      </c>
    </row>
    <row r="49" spans="6:7" x14ac:dyDescent="0.35">
      <c r="F49" s="4" t="s">
        <v>36</v>
      </c>
      <c r="G49" s="20">
        <v>3.7343750000000013</v>
      </c>
    </row>
    <row r="50" spans="6:7" x14ac:dyDescent="0.35">
      <c r="F50" s="4" t="s">
        <v>39</v>
      </c>
      <c r="G50" s="20">
        <v>3.9885714285714293</v>
      </c>
    </row>
    <row r="51" spans="6:7" x14ac:dyDescent="0.35">
      <c r="F51" s="4" t="s">
        <v>32</v>
      </c>
      <c r="G51" s="20">
        <v>3.4799999999999964</v>
      </c>
    </row>
    <row r="55" spans="6:7" x14ac:dyDescent="0.35">
      <c r="F55" s="3" t="s">
        <v>2</v>
      </c>
      <c r="G55" t="s">
        <v>44</v>
      </c>
    </row>
    <row r="56" spans="6:7" x14ac:dyDescent="0.35">
      <c r="F56" s="4" t="s">
        <v>11</v>
      </c>
      <c r="G56" s="20">
        <v>1151</v>
      </c>
    </row>
    <row r="57" spans="6:7" x14ac:dyDescent="0.35">
      <c r="F57" s="4" t="s">
        <v>14</v>
      </c>
      <c r="G57" s="20">
        <v>1341</v>
      </c>
    </row>
    <row r="58" spans="6:7" x14ac:dyDescent="0.35">
      <c r="F58" s="4" t="s">
        <v>24</v>
      </c>
      <c r="G58" s="20">
        <v>2257</v>
      </c>
    </row>
    <row r="59" spans="6:7" x14ac:dyDescent="0.35">
      <c r="F59" s="4" t="s">
        <v>31</v>
      </c>
      <c r="G59" s="20">
        <v>1324</v>
      </c>
    </row>
    <row r="60" spans="6:7" x14ac:dyDescent="0.35">
      <c r="F60" s="4" t="s">
        <v>36</v>
      </c>
      <c r="G60" s="20">
        <v>2334</v>
      </c>
    </row>
    <row r="61" spans="6:7" x14ac:dyDescent="0.35">
      <c r="F61" s="4" t="s">
        <v>39</v>
      </c>
      <c r="G61" s="20">
        <v>2141</v>
      </c>
    </row>
    <row r="62" spans="6:7" x14ac:dyDescent="0.35">
      <c r="F62" s="4" t="s">
        <v>32</v>
      </c>
      <c r="G62" s="20">
        <v>10548</v>
      </c>
    </row>
    <row r="67" spans="6:7" x14ac:dyDescent="0.35">
      <c r="F67" s="3" t="s">
        <v>2</v>
      </c>
      <c r="G67" t="s">
        <v>45</v>
      </c>
    </row>
    <row r="68" spans="6:7" x14ac:dyDescent="0.35">
      <c r="F68" s="4" t="s">
        <v>11</v>
      </c>
      <c r="G68" s="20">
        <v>310.10000000000002</v>
      </c>
    </row>
    <row r="69" spans="6:7" x14ac:dyDescent="0.35">
      <c r="F69" s="4" t="s">
        <v>14</v>
      </c>
      <c r="G69" s="20">
        <v>617</v>
      </c>
    </row>
    <row r="70" spans="6:7" x14ac:dyDescent="0.35">
      <c r="F70" s="4" t="s">
        <v>24</v>
      </c>
      <c r="G70" s="20">
        <v>417.59999999999997</v>
      </c>
    </row>
    <row r="71" spans="6:7" x14ac:dyDescent="0.35">
      <c r="F71" s="4" t="s">
        <v>31</v>
      </c>
      <c r="G71" s="20">
        <v>194.7</v>
      </c>
    </row>
    <row r="72" spans="6:7" x14ac:dyDescent="0.35">
      <c r="F72" s="4" t="s">
        <v>36</v>
      </c>
      <c r="G72" s="20">
        <v>447.4</v>
      </c>
    </row>
    <row r="73" spans="6:7" x14ac:dyDescent="0.35">
      <c r="F73" s="4" t="s">
        <v>39</v>
      </c>
      <c r="G73" s="20">
        <v>549</v>
      </c>
    </row>
    <row r="74" spans="6:7" x14ac:dyDescent="0.35">
      <c r="F74" s="4" t="s">
        <v>32</v>
      </c>
      <c r="G74" s="20">
        <v>2535.8000000000002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Data</vt:lpstr>
      <vt:lpstr>Duplicate 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sanika b</cp:lastModifiedBy>
  <cp:revision/>
  <dcterms:created xsi:type="dcterms:W3CDTF">2025-06-13T02:44:26Z</dcterms:created>
  <dcterms:modified xsi:type="dcterms:W3CDTF">2026-02-27T06:28:06Z</dcterms:modified>
  <cp:category/>
  <cp:contentStatus/>
</cp:coreProperties>
</file>